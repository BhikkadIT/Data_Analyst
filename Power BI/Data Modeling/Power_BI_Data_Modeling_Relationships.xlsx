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Data Modelling\"/>
    </mc:Choice>
  </mc:AlternateContent>
  <xr:revisionPtr revIDLastSave="0" documentId="13_ncr:1_{86DCEE10-8388-49CE-891C-9C3D16018256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1ToM_Customers" sheetId="1" r:id="rId1"/>
    <sheet name="1ToM_Orders" sheetId="2" r:id="rId2"/>
    <sheet name="MToO_Products" sheetId="3" r:id="rId3"/>
    <sheet name="MToO_Inventory" sheetId="4" r:id="rId4"/>
    <sheet name="1To1_Employees" sheetId="5" r:id="rId5"/>
    <sheet name="1To1_Payroll" sheetId="6" r:id="rId6"/>
    <sheet name="MToM_Students" sheetId="7" r:id="rId7"/>
    <sheet name="MToM_Courses" sheetId="8" r:id="rId8"/>
    <sheet name="MToM_Enrollmen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9" l="1" a="1"/>
  <c r="E27" i="9" s="1"/>
  <c r="D27" i="9" a="1"/>
  <c r="D27" i="9" s="1"/>
  <c r="C27" i="9" a="1"/>
  <c r="C27" i="9" s="1"/>
  <c r="E17" i="6"/>
  <c r="D17" i="6"/>
  <c r="C17" i="6"/>
  <c r="D36" i="4" a="1"/>
  <c r="D36" i="4" s="1"/>
  <c r="C36" i="4" a="1"/>
  <c r="C36" i="4" s="1"/>
  <c r="C34" i="4"/>
  <c r="C39" i="2"/>
  <c r="C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<sst xmlns="http://schemas.openxmlformats.org/spreadsheetml/2006/main" count="633" uniqueCount="317">
  <si>
    <t>CustomerID</t>
  </si>
  <si>
    <t>Customer_Name</t>
  </si>
  <si>
    <t>City</t>
  </si>
  <si>
    <t>State</t>
  </si>
  <si>
    <t>Email</t>
  </si>
  <si>
    <t>Phone</t>
  </si>
  <si>
    <t>Registration_Date</t>
  </si>
  <si>
    <t>Segment</t>
  </si>
  <si>
    <t>Rajesh Kumar</t>
  </si>
  <si>
    <t>Mumbai</t>
  </si>
  <si>
    <t>Maharashtra</t>
  </si>
  <si>
    <t>rajesh@gmail.com</t>
  </si>
  <si>
    <t>2022-01-15</t>
  </si>
  <si>
    <t>Premium</t>
  </si>
  <si>
    <t>Priya Singh</t>
  </si>
  <si>
    <t>Delhi</t>
  </si>
  <si>
    <t>priya@gmail.com</t>
  </si>
  <si>
    <t>2022-02-20</t>
  </si>
  <si>
    <t>Standard</t>
  </si>
  <si>
    <t>Amit Patel</t>
  </si>
  <si>
    <t>Bangalore</t>
  </si>
  <si>
    <t>Karnataka</t>
  </si>
  <si>
    <t>amit@gmail.com</t>
  </si>
  <si>
    <t>2022-03-10</t>
  </si>
  <si>
    <t>Divya Sharma</t>
  </si>
  <si>
    <t>Hyderabad</t>
  </si>
  <si>
    <t>Telangana</t>
  </si>
  <si>
    <t>divya@gmail.com</t>
  </si>
  <si>
    <t>2022-04-05</t>
  </si>
  <si>
    <t>Vikram Gupta</t>
  </si>
  <si>
    <t>Pune</t>
  </si>
  <si>
    <t>vikram@gmail.com</t>
  </si>
  <si>
    <t>2022-05-12</t>
  </si>
  <si>
    <t>Basic</t>
  </si>
  <si>
    <t>Meera Nair</t>
  </si>
  <si>
    <t>Kochi</t>
  </si>
  <si>
    <t>Kerala</t>
  </si>
  <si>
    <t>meera@gmail.com</t>
  </si>
  <si>
    <t>2022-06-18</t>
  </si>
  <si>
    <t>Arjun Reddy</t>
  </si>
  <si>
    <t>Chennai</t>
  </si>
  <si>
    <t>Tamil Nadu</t>
  </si>
  <si>
    <t>arjun@gmail.com</t>
  </si>
  <si>
    <t>2022-07-22</t>
  </si>
  <si>
    <t>Anjali Verma</t>
  </si>
  <si>
    <t>Jaipur</t>
  </si>
  <si>
    <t>Rajasthan</t>
  </si>
  <si>
    <t>anjali@gmail.com</t>
  </si>
  <si>
    <t>2022-08-30</t>
  </si>
  <si>
    <t>Sanjay Kumar</t>
  </si>
  <si>
    <t>Kolkata</t>
  </si>
  <si>
    <t>West Bengal</t>
  </si>
  <si>
    <t>sanjay@gmail.com</t>
  </si>
  <si>
    <t>2022-09-14</t>
  </si>
  <si>
    <t>Deepika Singh</t>
  </si>
  <si>
    <t>Chandigarh</t>
  </si>
  <si>
    <t>Punjab</t>
  </si>
  <si>
    <t>deepika@gmail.com</t>
  </si>
  <si>
    <t>2022-10-25</t>
  </si>
  <si>
    <t>OrderID</t>
  </si>
  <si>
    <t>Order_Date</t>
  </si>
  <si>
    <t>Product_Name</t>
  </si>
  <si>
    <t>Quantity</t>
  </si>
  <si>
    <t>Unit_Price</t>
  </si>
  <si>
    <t>Amount</t>
  </si>
  <si>
    <t>Status</t>
  </si>
  <si>
    <t>2023-01-10</t>
  </si>
  <si>
    <t>Laptop</t>
  </si>
  <si>
    <t>Delivered</t>
  </si>
  <si>
    <t>2023-02-15</t>
  </si>
  <si>
    <t>Mouse</t>
  </si>
  <si>
    <t>2023-01-20</t>
  </si>
  <si>
    <t>Monitor</t>
  </si>
  <si>
    <t>2023-03-05</t>
  </si>
  <si>
    <t>Keyboard</t>
  </si>
  <si>
    <t>Pending</t>
  </si>
  <si>
    <t>2023-02-10</t>
  </si>
  <si>
    <t>2023-04-12</t>
  </si>
  <si>
    <t>USB Cable</t>
  </si>
  <si>
    <t>2023-01-25</t>
  </si>
  <si>
    <t>2023-03-18</t>
  </si>
  <si>
    <t>2023-02-20</t>
  </si>
  <si>
    <t>2023-04-22</t>
  </si>
  <si>
    <t>2023-03-10</t>
  </si>
  <si>
    <t>2023-05-15</t>
  </si>
  <si>
    <t>2023-02-28</t>
  </si>
  <si>
    <t>2023-04-08</t>
  </si>
  <si>
    <t>2023-03-20</t>
  </si>
  <si>
    <t>2023-05-25</t>
  </si>
  <si>
    <t>2023-02-12</t>
  </si>
  <si>
    <t>2023-04-30</t>
  </si>
  <si>
    <t>2023-03-15</t>
  </si>
  <si>
    <t>2023-05-20</t>
  </si>
  <si>
    <t>2023-06-10</t>
  </si>
  <si>
    <t>2023-07-05</t>
  </si>
  <si>
    <t>2023-06-20</t>
  </si>
  <si>
    <t>2023-08-10</t>
  </si>
  <si>
    <t>2023-07-15</t>
  </si>
  <si>
    <t>2023-08-22</t>
  </si>
  <si>
    <t>2023-07-30</t>
  </si>
  <si>
    <t>2023-09-05</t>
  </si>
  <si>
    <t>2023-08-18</t>
  </si>
  <si>
    <t>2023-09-12</t>
  </si>
  <si>
    <t>ProductID</t>
  </si>
  <si>
    <t>Category</t>
  </si>
  <si>
    <t>Subcategory</t>
  </si>
  <si>
    <t>Price</t>
  </si>
  <si>
    <t>Supplier</t>
  </si>
  <si>
    <t>Warranty_Months</t>
  </si>
  <si>
    <t>In_Stock</t>
  </si>
  <si>
    <t>Laptop Dell XPS</t>
  </si>
  <si>
    <t>Electronics</t>
  </si>
  <si>
    <t>Computers</t>
  </si>
  <si>
    <t>Dell India</t>
  </si>
  <si>
    <t>Yes</t>
  </si>
  <si>
    <t>Monitor LG 24"</t>
  </si>
  <si>
    <t>Displays</t>
  </si>
  <si>
    <t>LG India</t>
  </si>
  <si>
    <t>Keyboard Logitech</t>
  </si>
  <si>
    <t>Accessories</t>
  </si>
  <si>
    <t>Logitech</t>
  </si>
  <si>
    <t>Mouse Razer</t>
  </si>
  <si>
    <t>Razer</t>
  </si>
  <si>
    <t>USB Cable 2m</t>
  </si>
  <si>
    <t>Cables</t>
  </si>
  <si>
    <t>Generic</t>
  </si>
  <si>
    <t>Headphones Sony</t>
  </si>
  <si>
    <t>Audio</t>
  </si>
  <si>
    <t>Sony</t>
  </si>
  <si>
    <t>Webcam HD</t>
  </si>
  <si>
    <t>Cameras</t>
  </si>
  <si>
    <t>HDMI Cable</t>
  </si>
  <si>
    <t>Mouse Pad</t>
  </si>
  <si>
    <t>Monitor Stand</t>
  </si>
  <si>
    <t>InventoryID</t>
  </si>
  <si>
    <t>Warehouse_Location</t>
  </si>
  <si>
    <t>Quantity_Available</t>
  </si>
  <si>
    <t>Quantity_Reserved</t>
  </si>
  <si>
    <t>Last_Updated</t>
  </si>
  <si>
    <t>Reorder_Level</t>
  </si>
  <si>
    <t>Mumbai Warehouse</t>
  </si>
  <si>
    <t>2025-06-01</t>
  </si>
  <si>
    <t>Good Stock</t>
  </si>
  <si>
    <t>Delhi Warehouse</t>
  </si>
  <si>
    <t>Bangalore Warehouse</t>
  </si>
  <si>
    <t>Low Stock</t>
  </si>
  <si>
    <t>Kolkata Warehouse</t>
  </si>
  <si>
    <t>EmployeeID</t>
  </si>
  <si>
    <t>Employee_Name</t>
  </si>
  <si>
    <t>Department</t>
  </si>
  <si>
    <t>Designation</t>
  </si>
  <si>
    <t>Join_Date</t>
  </si>
  <si>
    <t>Manager_ID</t>
  </si>
  <si>
    <t>Office_Location</t>
  </si>
  <si>
    <t>Sales</t>
  </si>
  <si>
    <t>Manager</t>
  </si>
  <si>
    <t>2018-06-15</t>
  </si>
  <si>
    <t>Active</t>
  </si>
  <si>
    <t>IT</t>
  </si>
  <si>
    <t>Senior Developer</t>
  </si>
  <si>
    <t>2019-03-20</t>
  </si>
  <si>
    <t>Finance</t>
  </si>
  <si>
    <t>Accountant</t>
  </si>
  <si>
    <t>2020-01-10</t>
  </si>
  <si>
    <t>HR</t>
  </si>
  <si>
    <t>HR Manager</t>
  </si>
  <si>
    <t>2017-08-25</t>
  </si>
  <si>
    <t>Department Head</t>
  </si>
  <si>
    <t>2015-05-12</t>
  </si>
  <si>
    <t>Sales Executive</t>
  </si>
  <si>
    <t>2019-11-18</t>
  </si>
  <si>
    <t>Finance Manager</t>
  </si>
  <si>
    <t>2018-09-30</t>
  </si>
  <si>
    <t>Developer</t>
  </si>
  <si>
    <t>2020-04-22</t>
  </si>
  <si>
    <t>2019-07-14</t>
  </si>
  <si>
    <t>HR Executive</t>
  </si>
  <si>
    <t>2021-02-01</t>
  </si>
  <si>
    <t>PayrollID</t>
  </si>
  <si>
    <t>Basic_Salary</t>
  </si>
  <si>
    <t>HRA</t>
  </si>
  <si>
    <t>DA</t>
  </si>
  <si>
    <t>Deductions</t>
  </si>
  <si>
    <t>Net_Salary</t>
  </si>
  <si>
    <t>Pay_Date</t>
  </si>
  <si>
    <t>2025-06-30</t>
  </si>
  <si>
    <t>StudentID</t>
  </si>
  <si>
    <t>Student_Name</t>
  </si>
  <si>
    <t>College_Name</t>
  </si>
  <si>
    <t>Degree</t>
  </si>
  <si>
    <t>Admission_Date</t>
  </si>
  <si>
    <t>Contact</t>
  </si>
  <si>
    <t>Rohan Sharma</t>
  </si>
  <si>
    <t>IIT Delhi</t>
  </si>
  <si>
    <t>BTech CS</t>
  </si>
  <si>
    <t>2021-07-20</t>
  </si>
  <si>
    <t>rohan@iit.ac.in</t>
  </si>
  <si>
    <t>Neha Gupta</t>
  </si>
  <si>
    <t>Delhi University</t>
  </si>
  <si>
    <t>BSc Physics</t>
  </si>
  <si>
    <t>2021-08-15</t>
  </si>
  <si>
    <t>neha@du.ac.in</t>
  </si>
  <si>
    <t>Karan Singh</t>
  </si>
  <si>
    <t>IIT Bombay</t>
  </si>
  <si>
    <t>BTech Mech</t>
  </si>
  <si>
    <t>2021-07-10</t>
  </si>
  <si>
    <t>karan@iit.ac.in</t>
  </si>
  <si>
    <t>Ananya Patel</t>
  </si>
  <si>
    <t>NIT Rourkela</t>
  </si>
  <si>
    <t>BTech IT</t>
  </si>
  <si>
    <t>2021-08-01</t>
  </si>
  <si>
    <t>ananya@nit.ac.in</t>
  </si>
  <si>
    <t>Vikas Kumar</t>
  </si>
  <si>
    <t>MSc Chemistry</t>
  </si>
  <si>
    <t>2022-07-15</t>
  </si>
  <si>
    <t>vikas@du.ac.in</t>
  </si>
  <si>
    <t>Shreya Verma</t>
  </si>
  <si>
    <t>IIT Madras</t>
  </si>
  <si>
    <t>BTech Electrical</t>
  </si>
  <si>
    <t>2021-07-22</t>
  </si>
  <si>
    <t>shreya@iit.ac.in</t>
  </si>
  <si>
    <t>Harsh Reddy</t>
  </si>
  <si>
    <t>BITS Pilani</t>
  </si>
  <si>
    <t>BSc Electronics</t>
  </si>
  <si>
    <t>2021-06-30</t>
  </si>
  <si>
    <t>harsh@bits.ac.in</t>
  </si>
  <si>
    <t>Pooja Nair</t>
  </si>
  <si>
    <t>BA Economics</t>
  </si>
  <si>
    <t>2022-08-05</t>
  </si>
  <si>
    <t>pooja@du.ac.in</t>
  </si>
  <si>
    <t>Rahul Singh</t>
  </si>
  <si>
    <t>2021-07-25</t>
  </si>
  <si>
    <t>rahul@iit.ac.in</t>
  </si>
  <si>
    <t>Isha Malhotra</t>
  </si>
  <si>
    <t>Mumbai University</t>
  </si>
  <si>
    <t>BBA Marketing</t>
  </si>
  <si>
    <t>2022-07-10</t>
  </si>
  <si>
    <t>isha@mu.ac.in</t>
  </si>
  <si>
    <t>CourseID</t>
  </si>
  <si>
    <t>Course_Code</t>
  </si>
  <si>
    <t>Course_Name</t>
  </si>
  <si>
    <t>Credit_Hours</t>
  </si>
  <si>
    <t>Instructor</t>
  </si>
  <si>
    <t>Semester</t>
  </si>
  <si>
    <t>Capacity</t>
  </si>
  <si>
    <t>CS101</t>
  </si>
  <si>
    <t>Programming Fundamentals</t>
  </si>
  <si>
    <t>CSE</t>
  </si>
  <si>
    <t>Dr. Sharma</t>
  </si>
  <si>
    <t>Sem 1</t>
  </si>
  <si>
    <t>CS201</t>
  </si>
  <si>
    <t>Data Structures</t>
  </si>
  <si>
    <t>Dr. Kumar</t>
  </si>
  <si>
    <t>Sem 2</t>
  </si>
  <si>
    <t>MATH101</t>
  </si>
  <si>
    <t>Calculus</t>
  </si>
  <si>
    <t>Mathematics</t>
  </si>
  <si>
    <t>Dr. Singh</t>
  </si>
  <si>
    <t>PHYS101</t>
  </si>
  <si>
    <t>Physics I</t>
  </si>
  <si>
    <t>Physics</t>
  </si>
  <si>
    <t>Dr. Patel</t>
  </si>
  <si>
    <t>CHEM101</t>
  </si>
  <si>
    <t>Chemistry I</t>
  </si>
  <si>
    <t>Chemistry</t>
  </si>
  <si>
    <t>Dr. Verma</t>
  </si>
  <si>
    <t>CS301</t>
  </si>
  <si>
    <t>Database Systems</t>
  </si>
  <si>
    <t>Dr. Reddy</t>
  </si>
  <si>
    <t>Sem 3</t>
  </si>
  <si>
    <t>ELEC201</t>
  </si>
  <si>
    <t>Digital Electronics</t>
  </si>
  <si>
    <t>EEE</t>
  </si>
  <si>
    <t>Dr. Nair</t>
  </si>
  <si>
    <t>BBA101</t>
  </si>
  <si>
    <t>Business Management</t>
  </si>
  <si>
    <t>MBA</t>
  </si>
  <si>
    <t>Prof. Roy</t>
  </si>
  <si>
    <t>ECON101</t>
  </si>
  <si>
    <t>Microeconomics</t>
  </si>
  <si>
    <t>Economics</t>
  </si>
  <si>
    <t>Dr. Gupta</t>
  </si>
  <si>
    <t>CS401</t>
  </si>
  <si>
    <t>Web Development</t>
  </si>
  <si>
    <t>Dr. Malhotra</t>
  </si>
  <si>
    <t>Sem 4</t>
  </si>
  <si>
    <t>EnrollmentID</t>
  </si>
  <si>
    <t>Enrollment_Date</t>
  </si>
  <si>
    <t>Marks_Obtained</t>
  </si>
  <si>
    <t>Grade</t>
  </si>
  <si>
    <t>Attendance</t>
  </si>
  <si>
    <t>A</t>
  </si>
  <si>
    <t>Completed</t>
  </si>
  <si>
    <t>2021-12-01</t>
  </si>
  <si>
    <t>B</t>
  </si>
  <si>
    <t>2022-12-01</t>
  </si>
  <si>
    <t>2023-08-01</t>
  </si>
  <si>
    <t>Ongoing</t>
  </si>
  <si>
    <t>2022-08-01</t>
  </si>
  <si>
    <t>2023-12-01</t>
  </si>
  <si>
    <t>Customer ID</t>
  </si>
  <si>
    <t>Total Sales Amount</t>
  </si>
  <si>
    <t>Question :</t>
  </si>
  <si>
    <t>Order Count</t>
  </si>
  <si>
    <t>Product ID</t>
  </si>
  <si>
    <t>Total Stock in Qty</t>
  </si>
  <si>
    <t>Ware House Location</t>
  </si>
  <si>
    <t>question :</t>
  </si>
  <si>
    <t>Primary Key</t>
  </si>
  <si>
    <t>Foreign Key</t>
  </si>
  <si>
    <t>Employee ID</t>
  </si>
  <si>
    <t>Employee Name</t>
  </si>
  <si>
    <t>Total Basic Salary</t>
  </si>
  <si>
    <t>Total Net Salary</t>
  </si>
  <si>
    <t>Student ID</t>
  </si>
  <si>
    <t>Marks</t>
  </si>
  <si>
    <t>Course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</si>
</sst>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7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8F5E8-DE0C-4BE3-A6B5-3D939745D879}" name="OnetoM_Customer" displayName="OnetoM_Customer" ref="A1:H11" totalsRowShown="0" headerRowDxfId="69" dataDxfId="68">
  <autoFilter ref="A1:H11" xr:uid="{3688F5E8-DE0C-4BE3-A6B5-3D939745D879}"/>
  <tableColumns count="8">
    <tableColumn id="1" xr3:uid="{EFFDB2F8-92B0-4576-AE85-BC07613BE9A1}" name="CustomerID" dataDxfId="67"/>
    <tableColumn id="2" xr3:uid="{1BC468E3-570B-4EFF-B30E-A9F03597B5C8}" name="Customer_Name" dataDxfId="66"/>
    <tableColumn id="3" xr3:uid="{1843B82E-858C-4674-8EAF-EFD8A75D66C4}" name="City" dataDxfId="65"/>
    <tableColumn id="4" xr3:uid="{41FFB175-D2F4-46CE-AE70-5216475D0298}" name="State" dataDxfId="64"/>
    <tableColumn id="5" xr3:uid="{E99F63A3-3002-49F3-869A-C5497AECC42B}" name="Email" dataDxfId="63"/>
    <tableColumn id="6" xr3:uid="{BE5AA417-61A8-4035-B7D0-965439119173}" name="Phone" dataDxfId="62"/>
    <tableColumn id="7" xr3:uid="{C74CC4E4-B7A2-4B5E-8D4F-31FA9D51B54C}" name="Registration_Date" dataDxfId="61"/>
    <tableColumn id="8" xr3:uid="{AF86F7A5-1C13-4A0F-8899-C004A51BC6B5}" name="Segment" dataDxfId="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15DB4C-3AC5-4BC6-83EB-96F42D85BF24}" name="OnetoM_Order" displayName="OnetoM_Order" ref="A1:H31" totalsRowShown="0">
  <autoFilter ref="A1:H31" xr:uid="{9515DB4C-3AC5-4BC6-83EB-96F42D85BF24}"/>
  <tableColumns count="8">
    <tableColumn id="1" xr3:uid="{38941A6F-6D32-4DA2-A04D-2A98F19D9E08}" name="OrderID"/>
    <tableColumn id="2" xr3:uid="{40E8CCC2-EC91-4C8F-A91B-00EC1A943265}" name="CustomerID"/>
    <tableColumn id="3" xr3:uid="{BF8DDF77-6946-4056-B64D-3BD4A9CF74FB}" name="Order_Date"/>
    <tableColumn id="4" xr3:uid="{061B34A4-1A3F-479D-88FD-05B244F6E6B7}" name="Product_Name"/>
    <tableColumn id="5" xr3:uid="{F07E4F47-D135-45FE-BE73-F7639DC57D83}" name="Quantity"/>
    <tableColumn id="6" xr3:uid="{5718706E-6715-48DF-B53D-4CE2453991D9}" name="Unit_Price"/>
    <tableColumn id="7" xr3:uid="{DBE4AC27-2671-46DD-AA07-6486EC256C6E}" name="Amount"/>
    <tableColumn id="8" xr3:uid="{7816F095-984E-4987-B24B-BFAC606BD0A7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0AAF26-1AAD-49A6-9BE8-ADE00EB28C5D}" name="MToO_Product" displayName="MToO_Product" ref="A1:H11" totalsRowShown="0">
  <autoFilter ref="A1:H11" xr:uid="{3A0AAF26-1AAD-49A6-9BE8-ADE00EB28C5D}"/>
  <tableColumns count="8">
    <tableColumn id="1" xr3:uid="{D54CD916-D8D0-4C3F-B48E-99DDC6DF543F}" name="ProductID"/>
    <tableColumn id="2" xr3:uid="{81B6058F-CB8A-4E2B-9375-7F58B7AF131E}" name="Product_Name"/>
    <tableColumn id="3" xr3:uid="{D4035219-9F5F-40BC-A90A-40D57F62E557}" name="Category"/>
    <tableColumn id="4" xr3:uid="{6ED0FB89-8A65-4B6C-9EF7-92BAACB9562B}" name="Subcategory"/>
    <tableColumn id="5" xr3:uid="{2D6E9E3A-7F1B-4C27-A163-E510542D25F9}" name="Price"/>
    <tableColumn id="6" xr3:uid="{1CE93880-647C-4819-B786-EAE62C6BE445}" name="Supplier"/>
    <tableColumn id="7" xr3:uid="{7CAFBACF-86FC-4027-AEC8-6B2B609CE8B1}" name="Warranty_Months"/>
    <tableColumn id="8" xr3:uid="{F82110F3-6737-40B6-A4A7-0C08C170984D}" name="In_Stoc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611974-5E2C-45F0-95D4-21BE7F97EB94}" name="MToO_inventory" displayName="MToO_inventory" ref="A1:H31" totalsRowShown="0" headerRowDxfId="59" dataDxfId="58">
  <autoFilter ref="A1:H31" xr:uid="{5C611974-5E2C-45F0-95D4-21BE7F97EB94}"/>
  <tableColumns count="8">
    <tableColumn id="1" xr3:uid="{B56D96BC-2B41-452B-8EED-56B4E6FE4376}" name="InventoryID" dataDxfId="57"/>
    <tableColumn id="2" xr3:uid="{55BCAA28-A08E-4CAF-8F28-8E01B4FF1E9C}" name="ProductID" dataDxfId="56"/>
    <tableColumn id="3" xr3:uid="{0FF01958-012C-4B3B-B803-F35E5D10E320}" name="Warehouse_Location" dataDxfId="55"/>
    <tableColumn id="4" xr3:uid="{5C176B9D-05F4-4032-B01A-82A58B3BAEB9}" name="Quantity_Available" dataDxfId="54"/>
    <tableColumn id="5" xr3:uid="{A0FA4BD5-57A7-4F3F-8E69-AC1D79AA522D}" name="Quantity_Reserved" dataDxfId="53"/>
    <tableColumn id="6" xr3:uid="{F3EF0121-E0AA-43CA-B37C-1E4D169A7F71}" name="Last_Updated" dataDxfId="52"/>
    <tableColumn id="7" xr3:uid="{59D5AA2E-9BBA-4698-BB1B-D742DBDF2572}" name="Reorder_Level" dataDxfId="51"/>
    <tableColumn id="8" xr3:uid="{3092E3E3-216E-4C30-A1FB-520D559C619D}" name="Status" dataDxfId="5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E34949-0C8B-439A-A2A0-CADA1C4FA3DC}" name="OToO_Employee" displayName="OToO_Employee" ref="A1:H11" totalsRowShown="0" headerRowDxfId="49" dataDxfId="48">
  <autoFilter ref="A1:H11" xr:uid="{EDE34949-0C8B-439A-A2A0-CADA1C4FA3DC}"/>
  <tableColumns count="8">
    <tableColumn id="1" xr3:uid="{1ED7366B-7293-4C8C-9D77-18A931AEC4AB}" name="EmployeeID" dataDxfId="47"/>
    <tableColumn id="2" xr3:uid="{0281AE57-349F-4A96-9B80-5DA1F7835E45}" name="Employee_Name" dataDxfId="46"/>
    <tableColumn id="3" xr3:uid="{2DAD4996-6F16-4DC7-B8F7-29B9D0C5C411}" name="Department" dataDxfId="45"/>
    <tableColumn id="4" xr3:uid="{F697AB0B-8A3D-4D55-A08A-B8641151D961}" name="Designation" dataDxfId="44"/>
    <tableColumn id="5" xr3:uid="{5BD77B1C-7A4A-4FDC-9498-61578E2A4F44}" name="Join_Date" dataDxfId="43"/>
    <tableColumn id="6" xr3:uid="{D340F184-DFB0-4BA7-9AC1-41DEBBE59301}" name="Manager_ID" dataDxfId="42"/>
    <tableColumn id="7" xr3:uid="{18297B5D-9FB6-4A91-9F6A-F69E88AF03D9}" name="Status" dataDxfId="41"/>
    <tableColumn id="8" xr3:uid="{5840DB8B-9A2E-4938-ACFC-2FC961DFCCA2}" name="Office_Location" dataDxfId="4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4BA520-E6A4-4663-A98A-51F24F146EB9}" name="OToO_Payroll" displayName="OToO_Payroll" ref="A1:H11" totalsRowShown="0" headerRowDxfId="39" dataDxfId="38">
  <autoFilter ref="A1:H11" xr:uid="{C34BA520-E6A4-4663-A98A-51F24F146EB9}"/>
  <tableColumns count="8">
    <tableColumn id="1" xr3:uid="{DB6E490E-6F42-4D21-B262-8865807B42DC}" name="PayrollID" dataDxfId="37"/>
    <tableColumn id="2" xr3:uid="{1A651D26-9CAF-47A3-9CC9-120749CA2C04}" name="EmployeeID" dataDxfId="36"/>
    <tableColumn id="3" xr3:uid="{DD02708A-BA35-419E-9F05-E65B14497E28}" name="Basic_Salary" dataDxfId="35"/>
    <tableColumn id="4" xr3:uid="{1BB95BAB-DDED-43CF-B64D-0ADB98A0B7D7}" name="HRA" dataDxfId="34"/>
    <tableColumn id="5" xr3:uid="{6DB16C3E-9B81-4481-ADFC-E7B0F12A6D65}" name="DA" dataDxfId="33"/>
    <tableColumn id="6" xr3:uid="{07597A11-3F0B-4CD5-AA67-937DC5C4AE20}" name="Deductions" dataDxfId="32"/>
    <tableColumn id="7" xr3:uid="{43506578-CCEE-44BD-ADB6-C78A9812D2F5}" name="Net_Salary" dataDxfId="31"/>
    <tableColumn id="8" xr3:uid="{8AFD899C-D8AB-44E9-90C2-56DE8158372A}" name="Pay_Date" dataDxfId="3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D8A4B1-B10D-4C3B-834A-CD29F25FC935}" name="MToM_Students" displayName="MToM_Students" ref="A1:H11" totalsRowShown="0" headerRowDxfId="29" dataDxfId="28">
  <autoFilter ref="A1:H11" xr:uid="{BCD8A4B1-B10D-4C3B-834A-CD29F25FC935}"/>
  <tableColumns count="8">
    <tableColumn id="1" xr3:uid="{C1DA49CE-F9F3-4B3D-B8A3-BA28E38BACDF}" name="StudentID" dataDxfId="27"/>
    <tableColumn id="2" xr3:uid="{17078DA9-A7F2-4A5D-BD68-6C64D44BB916}" name="Student_Name" dataDxfId="26"/>
    <tableColumn id="3" xr3:uid="{EF7044ED-0C14-464F-9BAA-2328B089DDD0}" name="College_Name" dataDxfId="25"/>
    <tableColumn id="4" xr3:uid="{3BCEAFB7-E08F-439F-B361-178F2C235643}" name="Degree" dataDxfId="24"/>
    <tableColumn id="5" xr3:uid="{865A356D-B4B3-4552-A11E-EFF49ACA75E3}" name="Admission_Date" dataDxfId="23"/>
    <tableColumn id="6" xr3:uid="{BB73FD44-C422-4FFA-AF5F-FDBD5F6B40CD}" name="Email" dataDxfId="22"/>
    <tableColumn id="7" xr3:uid="{F08A6C17-E1AE-4063-AAC3-4B6C7B4177E6}" name="Contact" dataDxfId="21"/>
    <tableColumn id="8" xr3:uid="{FFA28980-FA47-422F-BFD6-56997B559177}" name="Status" dataDxfId="2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0EDADA-04DC-4F4F-8440-EB983DFAE0BD}" name="MToM_Courses" displayName="MToM_Courses" ref="A1:H11" totalsRowShown="0" headerRowDxfId="19" dataDxfId="18">
  <autoFilter ref="A1:H11" xr:uid="{AC0EDADA-04DC-4F4F-8440-EB983DFAE0BD}"/>
  <tableColumns count="8">
    <tableColumn id="1" xr3:uid="{B18B4980-881C-48B0-B3A9-A5BD4E4F44F4}" name="CourseID" dataDxfId="17"/>
    <tableColumn id="2" xr3:uid="{B3B7C2D5-150A-4F97-ADDB-B35EDABC502E}" name="Course_Code" dataDxfId="16"/>
    <tableColumn id="3" xr3:uid="{9BD46304-7C87-40A5-A0A9-9A23E8EDD1A1}" name="Course_Name" dataDxfId="15"/>
    <tableColumn id="4" xr3:uid="{2586205F-ED61-4949-BD3E-99B594A9750C}" name="Department" dataDxfId="14"/>
    <tableColumn id="5" xr3:uid="{168E14D8-B726-426D-8D55-6CB6D21E3D07}" name="Credit_Hours" dataDxfId="13"/>
    <tableColumn id="6" xr3:uid="{03172C35-5BDE-4FB7-AEAF-88ACA93A8961}" name="Instructor" dataDxfId="12"/>
    <tableColumn id="7" xr3:uid="{0D72FC7E-BCA9-4CF6-9AAE-DB4EA65566AE}" name="Semester" dataDxfId="11"/>
    <tableColumn id="8" xr3:uid="{1B8E8BC1-E9B7-4089-BBB0-5BACB402A8D7}" name="Capacity" dataDxfId="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783D13-828A-46A5-890E-0065C8031946}" name="MToM_Enrollment" displayName="MToM_Enrollment" ref="A1:H21" totalsRowShown="0" headerRowDxfId="9" dataDxfId="8">
  <autoFilter ref="A1:H21" xr:uid="{9A783D13-828A-46A5-890E-0065C8031946}"/>
  <tableColumns count="8">
    <tableColumn id="1" xr3:uid="{6BAAC2F4-BD44-43F6-8EC5-9440FC2AFB4E}" name="EnrollmentID" dataDxfId="7"/>
    <tableColumn id="2" xr3:uid="{545EE198-59F6-4490-A980-21052F7BBAA8}" name="StudentID" dataDxfId="6"/>
    <tableColumn id="3" xr3:uid="{7FCC6539-A879-4806-B90D-9AF43AD0D2D1}" name="CourseID" dataDxfId="5"/>
    <tableColumn id="4" xr3:uid="{656E871A-D194-406E-8D01-7F1FA0383164}" name="Enrollment_Date" dataDxfId="4"/>
    <tableColumn id="5" xr3:uid="{5E1AB7B3-A7A9-415F-9318-6D0BE655FF01}" name="Marks_Obtained" dataDxfId="3"/>
    <tableColumn id="6" xr3:uid="{A3E74DC2-9024-4043-810D-51F9CC4740CD}" name="Grade" dataDxfId="2"/>
    <tableColumn id="7" xr3:uid="{492F84A4-A96A-4091-93B9-218E982D7FEF}" name="Attendance" dataDxfId="1"/>
    <tableColumn id="8" xr3:uid="{D2CB3A09-6D99-4596-9484-6E0FFC710A1D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="130" zoomScaleNormal="130" workbookViewId="0">
      <selection activeCell="D13" sqref="D13"/>
    </sheetView>
  </sheetViews>
  <sheetFormatPr defaultRowHeight="14.4" x14ac:dyDescent="0.3"/>
  <cols>
    <col min="1" max="8" width="18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9876543210</v>
      </c>
      <c r="G2" s="1" t="s">
        <v>12</v>
      </c>
      <c r="H2" s="1" t="s">
        <v>13</v>
      </c>
    </row>
    <row r="3" spans="1:8" x14ac:dyDescent="0.3">
      <c r="A3" s="1">
        <v>1002</v>
      </c>
      <c r="B3" s="1" t="s">
        <v>14</v>
      </c>
      <c r="C3" s="1" t="s">
        <v>15</v>
      </c>
      <c r="D3" s="1" t="s">
        <v>15</v>
      </c>
      <c r="E3" s="1" t="s">
        <v>16</v>
      </c>
      <c r="F3" s="2">
        <v>9876543211</v>
      </c>
      <c r="G3" s="1" t="s">
        <v>17</v>
      </c>
      <c r="H3" s="1" t="s">
        <v>18</v>
      </c>
    </row>
    <row r="4" spans="1:8" x14ac:dyDescent="0.3">
      <c r="A4" s="1">
        <v>1003</v>
      </c>
      <c r="B4" s="1" t="s">
        <v>19</v>
      </c>
      <c r="C4" s="1" t="s">
        <v>20</v>
      </c>
      <c r="D4" s="1" t="s">
        <v>21</v>
      </c>
      <c r="E4" s="1" t="s">
        <v>22</v>
      </c>
      <c r="F4" s="2">
        <v>9876543212</v>
      </c>
      <c r="G4" s="1" t="s">
        <v>23</v>
      </c>
      <c r="H4" s="1" t="s">
        <v>13</v>
      </c>
    </row>
    <row r="5" spans="1:8" x14ac:dyDescent="0.3">
      <c r="A5" s="1">
        <v>1004</v>
      </c>
      <c r="B5" s="1" t="s">
        <v>24</v>
      </c>
      <c r="C5" s="1" t="s">
        <v>25</v>
      </c>
      <c r="D5" s="1" t="s">
        <v>26</v>
      </c>
      <c r="E5" s="1" t="s">
        <v>27</v>
      </c>
      <c r="F5" s="2">
        <v>9876543213</v>
      </c>
      <c r="G5" s="1" t="s">
        <v>28</v>
      </c>
      <c r="H5" s="1" t="s">
        <v>18</v>
      </c>
    </row>
    <row r="6" spans="1:8" x14ac:dyDescent="0.3">
      <c r="A6" s="1">
        <v>1005</v>
      </c>
      <c r="B6" s="1" t="s">
        <v>29</v>
      </c>
      <c r="C6" s="1" t="s">
        <v>30</v>
      </c>
      <c r="D6" s="1" t="s">
        <v>10</v>
      </c>
      <c r="E6" s="1" t="s">
        <v>31</v>
      </c>
      <c r="F6" s="2">
        <v>9876543214</v>
      </c>
      <c r="G6" s="1" t="s">
        <v>32</v>
      </c>
      <c r="H6" s="1" t="s">
        <v>33</v>
      </c>
    </row>
    <row r="7" spans="1:8" x14ac:dyDescent="0.3">
      <c r="A7" s="1">
        <v>1006</v>
      </c>
      <c r="B7" s="1" t="s">
        <v>34</v>
      </c>
      <c r="C7" s="1" t="s">
        <v>35</v>
      </c>
      <c r="D7" s="1" t="s">
        <v>36</v>
      </c>
      <c r="E7" s="1" t="s">
        <v>37</v>
      </c>
      <c r="F7" s="2">
        <v>9876543215</v>
      </c>
      <c r="G7" s="1" t="s">
        <v>38</v>
      </c>
      <c r="H7" s="1" t="s">
        <v>13</v>
      </c>
    </row>
    <row r="8" spans="1:8" x14ac:dyDescent="0.3">
      <c r="A8" s="1">
        <v>1007</v>
      </c>
      <c r="B8" s="1" t="s">
        <v>39</v>
      </c>
      <c r="C8" s="1" t="s">
        <v>40</v>
      </c>
      <c r="D8" s="1" t="s">
        <v>41</v>
      </c>
      <c r="E8" s="1" t="s">
        <v>42</v>
      </c>
      <c r="F8" s="2">
        <v>9876543216</v>
      </c>
      <c r="G8" s="1" t="s">
        <v>43</v>
      </c>
      <c r="H8" s="1" t="s">
        <v>18</v>
      </c>
    </row>
    <row r="9" spans="1:8" x14ac:dyDescent="0.3">
      <c r="A9" s="1">
        <v>1008</v>
      </c>
      <c r="B9" s="1" t="s">
        <v>44</v>
      </c>
      <c r="C9" s="1" t="s">
        <v>45</v>
      </c>
      <c r="D9" s="1" t="s">
        <v>46</v>
      </c>
      <c r="E9" s="1" t="s">
        <v>47</v>
      </c>
      <c r="F9" s="2">
        <v>9876543217</v>
      </c>
      <c r="G9" s="1" t="s">
        <v>48</v>
      </c>
      <c r="H9" s="1" t="s">
        <v>33</v>
      </c>
    </row>
    <row r="10" spans="1:8" x14ac:dyDescent="0.3">
      <c r="A10" s="1">
        <v>1009</v>
      </c>
      <c r="B10" s="1" t="s">
        <v>49</v>
      </c>
      <c r="C10" s="1" t="s">
        <v>50</v>
      </c>
      <c r="D10" s="1" t="s">
        <v>51</v>
      </c>
      <c r="E10" s="1" t="s">
        <v>52</v>
      </c>
      <c r="F10" s="2">
        <v>9876543218</v>
      </c>
      <c r="G10" s="1" t="s">
        <v>53</v>
      </c>
      <c r="H10" s="1" t="s">
        <v>18</v>
      </c>
    </row>
    <row r="11" spans="1:8" x14ac:dyDescent="0.3">
      <c r="A11" s="1">
        <v>1010</v>
      </c>
      <c r="B11" s="1" t="s">
        <v>54</v>
      </c>
      <c r="C11" s="1" t="s">
        <v>55</v>
      </c>
      <c r="D11" s="1" t="s">
        <v>56</v>
      </c>
      <c r="E11" s="1" t="s">
        <v>57</v>
      </c>
      <c r="F11" s="2">
        <v>9876543219</v>
      </c>
      <c r="G11" s="1" t="s">
        <v>58</v>
      </c>
      <c r="H11" s="1" t="s">
        <v>13</v>
      </c>
    </row>
    <row r="13" spans="1:8" x14ac:dyDescent="0.3">
      <c r="A13" s="1" t="s">
        <v>308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31" zoomScale="130" zoomScaleNormal="130" workbookViewId="0">
      <selection activeCell="D40" sqref="D40"/>
    </sheetView>
  </sheetViews>
  <sheetFormatPr defaultRowHeight="14.4" x14ac:dyDescent="0.3"/>
  <cols>
    <col min="1" max="8" width="18" customWidth="1"/>
  </cols>
  <sheetData>
    <row r="1" spans="1:8" x14ac:dyDescent="0.3">
      <c r="A1" t="s">
        <v>59</v>
      </c>
      <c r="B1" t="s">
        <v>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3">
      <c r="A2">
        <v>5001</v>
      </c>
      <c r="B2">
        <v>1001</v>
      </c>
      <c r="C2" t="s">
        <v>66</v>
      </c>
      <c r="D2" t="s">
        <v>67</v>
      </c>
      <c r="E2">
        <v>1</v>
      </c>
      <c r="F2">
        <v>65000</v>
      </c>
      <c r="G2">
        <v>65000</v>
      </c>
      <c r="H2" t="s">
        <v>68</v>
      </c>
    </row>
    <row r="3" spans="1:8" x14ac:dyDescent="0.3">
      <c r="A3">
        <v>5002</v>
      </c>
      <c r="B3">
        <v>1001</v>
      </c>
      <c r="C3" t="s">
        <v>69</v>
      </c>
      <c r="D3" t="s">
        <v>70</v>
      </c>
      <c r="E3">
        <v>2</v>
      </c>
      <c r="F3">
        <v>500</v>
      </c>
      <c r="G3">
        <v>1000</v>
      </c>
      <c r="H3" t="s">
        <v>68</v>
      </c>
    </row>
    <row r="4" spans="1:8" x14ac:dyDescent="0.3">
      <c r="A4">
        <v>5003</v>
      </c>
      <c r="B4">
        <v>1002</v>
      </c>
      <c r="C4" t="s">
        <v>71</v>
      </c>
      <c r="D4" t="s">
        <v>72</v>
      </c>
      <c r="E4">
        <v>1</v>
      </c>
      <c r="F4">
        <v>15000</v>
      </c>
      <c r="G4">
        <v>15000</v>
      </c>
      <c r="H4" t="s">
        <v>68</v>
      </c>
    </row>
    <row r="5" spans="1:8" x14ac:dyDescent="0.3">
      <c r="A5">
        <v>5004</v>
      </c>
      <c r="B5">
        <v>1002</v>
      </c>
      <c r="C5" t="s">
        <v>73</v>
      </c>
      <c r="D5" t="s">
        <v>74</v>
      </c>
      <c r="E5">
        <v>1</v>
      </c>
      <c r="F5">
        <v>3000</v>
      </c>
      <c r="G5">
        <v>3000</v>
      </c>
      <c r="H5" t="s">
        <v>75</v>
      </c>
    </row>
    <row r="6" spans="1:8" x14ac:dyDescent="0.3">
      <c r="A6">
        <v>5005</v>
      </c>
      <c r="B6">
        <v>1003</v>
      </c>
      <c r="C6" t="s">
        <v>76</v>
      </c>
      <c r="D6" t="s">
        <v>67</v>
      </c>
      <c r="E6">
        <v>2</v>
      </c>
      <c r="F6">
        <v>65000</v>
      </c>
      <c r="G6">
        <v>130000</v>
      </c>
      <c r="H6" t="s">
        <v>68</v>
      </c>
    </row>
    <row r="7" spans="1:8" x14ac:dyDescent="0.3">
      <c r="A7">
        <v>5006</v>
      </c>
      <c r="B7">
        <v>1003</v>
      </c>
      <c r="C7" t="s">
        <v>77</v>
      </c>
      <c r="D7" t="s">
        <v>78</v>
      </c>
      <c r="E7">
        <v>5</v>
      </c>
      <c r="F7">
        <v>200</v>
      </c>
      <c r="G7">
        <v>1000</v>
      </c>
      <c r="H7" t="s">
        <v>68</v>
      </c>
    </row>
    <row r="8" spans="1:8" x14ac:dyDescent="0.3">
      <c r="A8">
        <v>5007</v>
      </c>
      <c r="B8">
        <v>1004</v>
      </c>
      <c r="C8" t="s">
        <v>79</v>
      </c>
      <c r="D8" t="s">
        <v>72</v>
      </c>
      <c r="E8">
        <v>2</v>
      </c>
      <c r="F8">
        <v>15000</v>
      </c>
      <c r="G8">
        <v>30000</v>
      </c>
      <c r="H8" t="s">
        <v>68</v>
      </c>
    </row>
    <row r="9" spans="1:8" x14ac:dyDescent="0.3">
      <c r="A9">
        <v>5008</v>
      </c>
      <c r="B9">
        <v>1004</v>
      </c>
      <c r="C9" t="s">
        <v>80</v>
      </c>
      <c r="D9" t="s">
        <v>70</v>
      </c>
      <c r="E9">
        <v>3</v>
      </c>
      <c r="F9">
        <v>500</v>
      </c>
      <c r="G9">
        <v>1500</v>
      </c>
      <c r="H9" t="s">
        <v>68</v>
      </c>
    </row>
    <row r="10" spans="1:8" x14ac:dyDescent="0.3">
      <c r="A10">
        <v>5009</v>
      </c>
      <c r="B10">
        <v>1005</v>
      </c>
      <c r="C10" t="s">
        <v>81</v>
      </c>
      <c r="D10" t="s">
        <v>74</v>
      </c>
      <c r="E10">
        <v>2</v>
      </c>
      <c r="F10">
        <v>3000</v>
      </c>
      <c r="G10">
        <v>6000</v>
      </c>
      <c r="H10" t="s">
        <v>75</v>
      </c>
    </row>
    <row r="11" spans="1:8" x14ac:dyDescent="0.3">
      <c r="A11">
        <v>5010</v>
      </c>
      <c r="B11">
        <v>1005</v>
      </c>
      <c r="C11" t="s">
        <v>82</v>
      </c>
      <c r="D11" t="s">
        <v>67</v>
      </c>
      <c r="E11">
        <v>1</v>
      </c>
      <c r="F11">
        <v>65000</v>
      </c>
      <c r="G11">
        <v>65000</v>
      </c>
      <c r="H11" t="s">
        <v>68</v>
      </c>
    </row>
    <row r="12" spans="1:8" x14ac:dyDescent="0.3">
      <c r="A12">
        <v>5011</v>
      </c>
      <c r="B12">
        <v>1006</v>
      </c>
      <c r="C12" t="s">
        <v>83</v>
      </c>
      <c r="D12" t="s">
        <v>72</v>
      </c>
      <c r="E12">
        <v>1</v>
      </c>
      <c r="F12">
        <v>15000</v>
      </c>
      <c r="G12">
        <v>15000</v>
      </c>
      <c r="H12" t="s">
        <v>68</v>
      </c>
    </row>
    <row r="13" spans="1:8" x14ac:dyDescent="0.3">
      <c r="A13">
        <v>5012</v>
      </c>
      <c r="B13">
        <v>1006</v>
      </c>
      <c r="C13" t="s">
        <v>84</v>
      </c>
      <c r="D13" t="s">
        <v>67</v>
      </c>
      <c r="E13">
        <v>1</v>
      </c>
      <c r="F13">
        <v>65000</v>
      </c>
      <c r="G13">
        <v>65000</v>
      </c>
      <c r="H13" t="s">
        <v>68</v>
      </c>
    </row>
    <row r="14" spans="1:8" x14ac:dyDescent="0.3">
      <c r="A14">
        <v>5013</v>
      </c>
      <c r="B14">
        <v>1007</v>
      </c>
      <c r="C14" t="s">
        <v>85</v>
      </c>
      <c r="D14" t="s">
        <v>70</v>
      </c>
      <c r="E14">
        <v>4</v>
      </c>
      <c r="F14">
        <v>500</v>
      </c>
      <c r="G14">
        <v>2000</v>
      </c>
      <c r="H14" t="s">
        <v>68</v>
      </c>
    </row>
    <row r="15" spans="1:8" x14ac:dyDescent="0.3">
      <c r="A15">
        <v>5014</v>
      </c>
      <c r="B15">
        <v>1007</v>
      </c>
      <c r="C15" t="s">
        <v>86</v>
      </c>
      <c r="D15" t="s">
        <v>72</v>
      </c>
      <c r="E15">
        <v>1</v>
      </c>
      <c r="F15">
        <v>15000</v>
      </c>
      <c r="G15">
        <v>15000</v>
      </c>
      <c r="H15" t="s">
        <v>75</v>
      </c>
    </row>
    <row r="16" spans="1:8" x14ac:dyDescent="0.3">
      <c r="A16">
        <v>5015</v>
      </c>
      <c r="B16">
        <v>1008</v>
      </c>
      <c r="C16" t="s">
        <v>87</v>
      </c>
      <c r="D16" t="s">
        <v>74</v>
      </c>
      <c r="E16">
        <v>1</v>
      </c>
      <c r="F16">
        <v>3000</v>
      </c>
      <c r="G16">
        <v>3000</v>
      </c>
      <c r="H16" t="s">
        <v>68</v>
      </c>
    </row>
    <row r="17" spans="1:8" x14ac:dyDescent="0.3">
      <c r="A17">
        <v>5016</v>
      </c>
      <c r="B17">
        <v>1008</v>
      </c>
      <c r="C17" t="s">
        <v>88</v>
      </c>
      <c r="D17" t="s">
        <v>78</v>
      </c>
      <c r="E17">
        <v>2</v>
      </c>
      <c r="F17">
        <v>200</v>
      </c>
      <c r="G17">
        <v>400</v>
      </c>
      <c r="H17" t="s">
        <v>68</v>
      </c>
    </row>
    <row r="18" spans="1:8" x14ac:dyDescent="0.3">
      <c r="A18">
        <v>5017</v>
      </c>
      <c r="B18">
        <v>1009</v>
      </c>
      <c r="C18" t="s">
        <v>89</v>
      </c>
      <c r="D18" t="s">
        <v>67</v>
      </c>
      <c r="E18">
        <v>1</v>
      </c>
      <c r="F18">
        <v>65000</v>
      </c>
      <c r="G18">
        <v>65000</v>
      </c>
      <c r="H18" t="s">
        <v>68</v>
      </c>
    </row>
    <row r="19" spans="1:8" x14ac:dyDescent="0.3">
      <c r="A19">
        <v>5018</v>
      </c>
      <c r="B19">
        <v>1009</v>
      </c>
      <c r="C19" t="s">
        <v>90</v>
      </c>
      <c r="D19" t="s">
        <v>70</v>
      </c>
      <c r="E19">
        <v>2</v>
      </c>
      <c r="F19">
        <v>500</v>
      </c>
      <c r="G19">
        <v>1000</v>
      </c>
      <c r="H19" t="s">
        <v>68</v>
      </c>
    </row>
    <row r="20" spans="1:8" x14ac:dyDescent="0.3">
      <c r="A20">
        <v>5019</v>
      </c>
      <c r="B20">
        <v>1010</v>
      </c>
      <c r="C20" t="s">
        <v>91</v>
      </c>
      <c r="D20" t="s">
        <v>72</v>
      </c>
      <c r="E20">
        <v>2</v>
      </c>
      <c r="F20">
        <v>15000</v>
      </c>
      <c r="G20">
        <v>30000</v>
      </c>
      <c r="H20" t="s">
        <v>68</v>
      </c>
    </row>
    <row r="21" spans="1:8" x14ac:dyDescent="0.3">
      <c r="A21">
        <v>5020</v>
      </c>
      <c r="B21">
        <v>1010</v>
      </c>
      <c r="C21" t="s">
        <v>92</v>
      </c>
      <c r="D21" t="s">
        <v>74</v>
      </c>
      <c r="E21">
        <v>1</v>
      </c>
      <c r="F21">
        <v>3000</v>
      </c>
      <c r="G21">
        <v>3000</v>
      </c>
      <c r="H21" t="s">
        <v>68</v>
      </c>
    </row>
    <row r="22" spans="1:8" x14ac:dyDescent="0.3">
      <c r="A22">
        <v>5021</v>
      </c>
      <c r="B22">
        <v>1001</v>
      </c>
      <c r="C22" t="s">
        <v>93</v>
      </c>
      <c r="D22" t="s">
        <v>72</v>
      </c>
      <c r="E22">
        <v>1</v>
      </c>
      <c r="F22">
        <v>15000</v>
      </c>
      <c r="G22">
        <v>15000</v>
      </c>
      <c r="H22" t="s">
        <v>68</v>
      </c>
    </row>
    <row r="23" spans="1:8" x14ac:dyDescent="0.3">
      <c r="A23">
        <v>5022</v>
      </c>
      <c r="B23">
        <v>1002</v>
      </c>
      <c r="C23" t="s">
        <v>94</v>
      </c>
      <c r="D23" t="s">
        <v>67</v>
      </c>
      <c r="E23">
        <v>1</v>
      </c>
      <c r="F23">
        <v>65000</v>
      </c>
      <c r="G23">
        <v>65000</v>
      </c>
      <c r="H23" t="s">
        <v>75</v>
      </c>
    </row>
    <row r="24" spans="1:8" x14ac:dyDescent="0.3">
      <c r="A24">
        <v>5023</v>
      </c>
      <c r="B24">
        <v>1003</v>
      </c>
      <c r="C24" t="s">
        <v>95</v>
      </c>
      <c r="D24" t="s">
        <v>70</v>
      </c>
      <c r="E24">
        <v>3</v>
      </c>
      <c r="F24">
        <v>500</v>
      </c>
      <c r="G24">
        <v>1500</v>
      </c>
      <c r="H24" t="s">
        <v>68</v>
      </c>
    </row>
    <row r="25" spans="1:8" x14ac:dyDescent="0.3">
      <c r="A25">
        <v>5024</v>
      </c>
      <c r="B25">
        <v>1004</v>
      </c>
      <c r="C25" t="s">
        <v>96</v>
      </c>
      <c r="D25" t="s">
        <v>78</v>
      </c>
      <c r="E25">
        <v>4</v>
      </c>
      <c r="F25">
        <v>200</v>
      </c>
      <c r="G25">
        <v>800</v>
      </c>
      <c r="H25" t="s">
        <v>68</v>
      </c>
    </row>
    <row r="26" spans="1:8" x14ac:dyDescent="0.3">
      <c r="A26">
        <v>5025</v>
      </c>
      <c r="B26">
        <v>1005</v>
      </c>
      <c r="C26" t="s">
        <v>97</v>
      </c>
      <c r="D26" t="s">
        <v>72</v>
      </c>
      <c r="E26">
        <v>1</v>
      </c>
      <c r="F26">
        <v>15000</v>
      </c>
      <c r="G26">
        <v>15000</v>
      </c>
      <c r="H26" t="s">
        <v>68</v>
      </c>
    </row>
    <row r="27" spans="1:8" x14ac:dyDescent="0.3">
      <c r="A27">
        <v>5026</v>
      </c>
      <c r="B27">
        <v>1006</v>
      </c>
      <c r="C27" t="s">
        <v>98</v>
      </c>
      <c r="D27" t="s">
        <v>74</v>
      </c>
      <c r="E27">
        <v>2</v>
      </c>
      <c r="F27">
        <v>3000</v>
      </c>
      <c r="G27">
        <v>6000</v>
      </c>
      <c r="H27" t="s">
        <v>68</v>
      </c>
    </row>
    <row r="28" spans="1:8" x14ac:dyDescent="0.3">
      <c r="A28">
        <v>5027</v>
      </c>
      <c r="B28">
        <v>1007</v>
      </c>
      <c r="C28" t="s">
        <v>99</v>
      </c>
      <c r="D28" t="s">
        <v>67</v>
      </c>
      <c r="E28">
        <v>1</v>
      </c>
      <c r="F28">
        <v>65000</v>
      </c>
      <c r="G28">
        <v>65000</v>
      </c>
      <c r="H28" t="s">
        <v>68</v>
      </c>
    </row>
    <row r="29" spans="1:8" x14ac:dyDescent="0.3">
      <c r="A29">
        <v>5028</v>
      </c>
      <c r="B29">
        <v>1008</v>
      </c>
      <c r="C29" t="s">
        <v>100</v>
      </c>
      <c r="D29" t="s">
        <v>70</v>
      </c>
      <c r="E29">
        <v>1</v>
      </c>
      <c r="F29">
        <v>500</v>
      </c>
      <c r="G29">
        <v>500</v>
      </c>
      <c r="H29" t="s">
        <v>75</v>
      </c>
    </row>
    <row r="30" spans="1:8" x14ac:dyDescent="0.3">
      <c r="A30">
        <v>5029</v>
      </c>
      <c r="B30">
        <v>1009</v>
      </c>
      <c r="C30" t="s">
        <v>101</v>
      </c>
      <c r="D30" t="s">
        <v>72</v>
      </c>
      <c r="E30">
        <v>1</v>
      </c>
      <c r="F30">
        <v>15000</v>
      </c>
      <c r="G30">
        <v>15000</v>
      </c>
      <c r="H30" t="s">
        <v>68</v>
      </c>
    </row>
    <row r="31" spans="1:8" x14ac:dyDescent="0.3">
      <c r="A31">
        <v>5030</v>
      </c>
      <c r="B31">
        <v>1010</v>
      </c>
      <c r="C31" t="s">
        <v>102</v>
      </c>
      <c r="D31" t="s">
        <v>74</v>
      </c>
      <c r="E31">
        <v>3</v>
      </c>
      <c r="F31">
        <v>3000</v>
      </c>
      <c r="G31">
        <v>9000</v>
      </c>
      <c r="H31" t="s">
        <v>68</v>
      </c>
    </row>
    <row r="33" spans="1:3" x14ac:dyDescent="0.3">
      <c r="B33" t="s">
        <v>309</v>
      </c>
    </row>
    <row r="35" spans="1:3" x14ac:dyDescent="0.3">
      <c r="A35" s="9" t="s">
        <v>302</v>
      </c>
      <c r="B35" s="8" t="s">
        <v>300</v>
      </c>
      <c r="C35" s="8" t="s">
        <v>301</v>
      </c>
    </row>
    <row r="36" spans="1:3" x14ac:dyDescent="0.3">
      <c r="A36" s="10"/>
      <c r="B36" s="11">
        <v>1003</v>
      </c>
      <c r="C36" s="7">
        <f>SUMIF(OnetoM_Order[CustomerID],B36,OnetoM_Order[Amount])</f>
        <v>132500</v>
      </c>
    </row>
    <row r="37" spans="1:3" x14ac:dyDescent="0.3">
      <c r="A37" s="10"/>
      <c r="B37" s="10"/>
      <c r="C37" s="10"/>
    </row>
    <row r="38" spans="1:3" x14ac:dyDescent="0.3">
      <c r="A38" s="10"/>
      <c r="B38" s="8" t="s">
        <v>300</v>
      </c>
      <c r="C38" s="8" t="s">
        <v>303</v>
      </c>
    </row>
    <row r="39" spans="1:3" x14ac:dyDescent="0.3">
      <c r="A39" s="10"/>
      <c r="B39" s="11">
        <v>1008</v>
      </c>
      <c r="C39" s="7">
        <f>COUNTIF(OnetoM_Order[CustomerID],B39)</f>
        <v>3</v>
      </c>
    </row>
  </sheetData>
  <dataValidations count="1">
    <dataValidation type="list" allowBlank="1" showInputMessage="1" showErrorMessage="1" sqref="B36 B39" xr:uid="{3AC1A54D-8B02-4DE4-B362-A65BC1460C36}">
      <formula1>$B$2:$B$31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zoomScale="130" zoomScaleNormal="130" workbookViewId="0">
      <selection activeCell="C13" sqref="C13"/>
    </sheetView>
  </sheetViews>
  <sheetFormatPr defaultRowHeight="14.4" x14ac:dyDescent="0.3"/>
  <cols>
    <col min="1" max="6" width="18" customWidth="1"/>
    <col min="7" max="7" width="18.33203125" customWidth="1"/>
    <col min="8" max="8" width="18" customWidth="1"/>
  </cols>
  <sheetData>
    <row r="1" spans="1:8" x14ac:dyDescent="0.3">
      <c r="A1" t="s">
        <v>103</v>
      </c>
      <c r="B1" t="s">
        <v>61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 x14ac:dyDescent="0.3">
      <c r="A2">
        <v>101</v>
      </c>
      <c r="B2" t="s">
        <v>110</v>
      </c>
      <c r="C2" t="s">
        <v>111</v>
      </c>
      <c r="D2" t="s">
        <v>112</v>
      </c>
      <c r="E2">
        <v>65000</v>
      </c>
      <c r="F2" t="s">
        <v>113</v>
      </c>
      <c r="G2">
        <v>24</v>
      </c>
      <c r="H2" t="s">
        <v>114</v>
      </c>
    </row>
    <row r="3" spans="1:8" x14ac:dyDescent="0.3">
      <c r="A3">
        <v>102</v>
      </c>
      <c r="B3" t="s">
        <v>115</v>
      </c>
      <c r="C3" t="s">
        <v>111</v>
      </c>
      <c r="D3" t="s">
        <v>116</v>
      </c>
      <c r="E3">
        <v>15000</v>
      </c>
      <c r="F3" t="s">
        <v>117</v>
      </c>
      <c r="G3">
        <v>12</v>
      </c>
      <c r="H3" t="s">
        <v>114</v>
      </c>
    </row>
    <row r="4" spans="1:8" x14ac:dyDescent="0.3">
      <c r="A4">
        <v>103</v>
      </c>
      <c r="B4" t="s">
        <v>118</v>
      </c>
      <c r="C4" t="s">
        <v>111</v>
      </c>
      <c r="D4" t="s">
        <v>119</v>
      </c>
      <c r="E4">
        <v>3000</v>
      </c>
      <c r="F4" t="s">
        <v>120</v>
      </c>
      <c r="G4">
        <v>12</v>
      </c>
      <c r="H4" t="s">
        <v>114</v>
      </c>
    </row>
    <row r="5" spans="1:8" x14ac:dyDescent="0.3">
      <c r="A5">
        <v>104</v>
      </c>
      <c r="B5" t="s">
        <v>121</v>
      </c>
      <c r="C5" t="s">
        <v>111</v>
      </c>
      <c r="D5" t="s">
        <v>119</v>
      </c>
      <c r="E5">
        <v>500</v>
      </c>
      <c r="F5" t="s">
        <v>122</v>
      </c>
      <c r="G5">
        <v>6</v>
      </c>
      <c r="H5" t="s">
        <v>114</v>
      </c>
    </row>
    <row r="6" spans="1:8" x14ac:dyDescent="0.3">
      <c r="A6">
        <v>105</v>
      </c>
      <c r="B6" t="s">
        <v>123</v>
      </c>
      <c r="C6" t="s">
        <v>111</v>
      </c>
      <c r="D6" t="s">
        <v>124</v>
      </c>
      <c r="E6">
        <v>200</v>
      </c>
      <c r="F6" t="s">
        <v>125</v>
      </c>
      <c r="G6">
        <v>0</v>
      </c>
      <c r="H6" t="s">
        <v>114</v>
      </c>
    </row>
    <row r="7" spans="1:8" x14ac:dyDescent="0.3">
      <c r="A7">
        <v>106</v>
      </c>
      <c r="B7" t="s">
        <v>126</v>
      </c>
      <c r="C7" t="s">
        <v>111</v>
      </c>
      <c r="D7" t="s">
        <v>127</v>
      </c>
      <c r="E7">
        <v>5000</v>
      </c>
      <c r="F7" t="s">
        <v>128</v>
      </c>
      <c r="G7">
        <v>12</v>
      </c>
      <c r="H7" t="s">
        <v>114</v>
      </c>
    </row>
    <row r="8" spans="1:8" x14ac:dyDescent="0.3">
      <c r="A8">
        <v>107</v>
      </c>
      <c r="B8" t="s">
        <v>129</v>
      </c>
      <c r="C8" t="s">
        <v>111</v>
      </c>
      <c r="D8" t="s">
        <v>130</v>
      </c>
      <c r="E8">
        <v>2500</v>
      </c>
      <c r="F8" t="s">
        <v>120</v>
      </c>
      <c r="G8">
        <v>12</v>
      </c>
      <c r="H8" t="s">
        <v>114</v>
      </c>
    </row>
    <row r="9" spans="1:8" x14ac:dyDescent="0.3">
      <c r="A9">
        <v>108</v>
      </c>
      <c r="B9" t="s">
        <v>131</v>
      </c>
      <c r="C9" t="s">
        <v>111</v>
      </c>
      <c r="D9" t="s">
        <v>124</v>
      </c>
      <c r="E9">
        <v>300</v>
      </c>
      <c r="F9" t="s">
        <v>125</v>
      </c>
      <c r="G9">
        <v>0</v>
      </c>
      <c r="H9" t="s">
        <v>114</v>
      </c>
    </row>
    <row r="10" spans="1:8" x14ac:dyDescent="0.3">
      <c r="A10">
        <v>109</v>
      </c>
      <c r="B10" t="s">
        <v>132</v>
      </c>
      <c r="C10" t="s">
        <v>111</v>
      </c>
      <c r="D10" t="s">
        <v>119</v>
      </c>
      <c r="E10">
        <v>400</v>
      </c>
      <c r="F10" t="s">
        <v>125</v>
      </c>
      <c r="G10">
        <v>0</v>
      </c>
      <c r="H10" t="s">
        <v>114</v>
      </c>
    </row>
    <row r="11" spans="1:8" x14ac:dyDescent="0.3">
      <c r="A11">
        <v>110</v>
      </c>
      <c r="B11" t="s">
        <v>133</v>
      </c>
      <c r="C11" t="s">
        <v>111</v>
      </c>
      <c r="D11" t="s">
        <v>119</v>
      </c>
      <c r="E11">
        <v>1500</v>
      </c>
      <c r="F11" t="s">
        <v>125</v>
      </c>
      <c r="G11">
        <v>6</v>
      </c>
      <c r="H11" t="s">
        <v>114</v>
      </c>
    </row>
    <row r="13" spans="1:8" x14ac:dyDescent="0.3">
      <c r="A13" t="s">
        <v>308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topLeftCell="A28" zoomScale="130" zoomScaleNormal="130" workbookViewId="0">
      <selection activeCell="D42" sqref="D42"/>
    </sheetView>
  </sheetViews>
  <sheetFormatPr defaultRowHeight="14.4" x14ac:dyDescent="0.3"/>
  <cols>
    <col min="1" max="2" width="18" style="1" customWidth="1"/>
    <col min="3" max="3" width="20.6640625" style="1" customWidth="1"/>
    <col min="4" max="4" width="19.88671875" style="1" bestFit="1" customWidth="1"/>
    <col min="5" max="5" width="18.88671875" style="1" customWidth="1"/>
    <col min="6" max="6" width="19.88671875" style="1" bestFit="1" customWidth="1"/>
    <col min="7" max="8" width="18" style="1" customWidth="1"/>
    <col min="9" max="16384" width="8.88671875" style="1"/>
  </cols>
  <sheetData>
    <row r="1" spans="1:8" x14ac:dyDescent="0.3">
      <c r="A1" s="1" t="s">
        <v>134</v>
      </c>
      <c r="B1" s="1" t="s">
        <v>103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65</v>
      </c>
    </row>
    <row r="2" spans="1:8" x14ac:dyDescent="0.3">
      <c r="A2" s="1">
        <v>1</v>
      </c>
      <c r="B2" s="1">
        <v>101</v>
      </c>
      <c r="C2" s="1" t="s">
        <v>140</v>
      </c>
      <c r="D2" s="1">
        <v>25</v>
      </c>
      <c r="E2" s="1">
        <v>5</v>
      </c>
      <c r="F2" s="1" t="s">
        <v>141</v>
      </c>
      <c r="G2" s="1">
        <v>10</v>
      </c>
      <c r="H2" s="1" t="s">
        <v>142</v>
      </c>
    </row>
    <row r="3" spans="1:8" x14ac:dyDescent="0.3">
      <c r="A3" s="1">
        <v>2</v>
      </c>
      <c r="B3" s="1">
        <v>101</v>
      </c>
      <c r="C3" s="1" t="s">
        <v>143</v>
      </c>
      <c r="D3" s="1">
        <v>15</v>
      </c>
      <c r="E3" s="1">
        <v>3</v>
      </c>
      <c r="F3" s="1" t="s">
        <v>141</v>
      </c>
      <c r="G3" s="1">
        <v>10</v>
      </c>
      <c r="H3" s="1" t="s">
        <v>142</v>
      </c>
    </row>
    <row r="4" spans="1:8" x14ac:dyDescent="0.3">
      <c r="A4" s="1">
        <v>3</v>
      </c>
      <c r="B4" s="1">
        <v>101</v>
      </c>
      <c r="C4" s="1" t="s">
        <v>144</v>
      </c>
      <c r="D4" s="1">
        <v>30</v>
      </c>
      <c r="E4" s="1">
        <v>8</v>
      </c>
      <c r="F4" s="1" t="s">
        <v>141</v>
      </c>
      <c r="G4" s="1">
        <v>10</v>
      </c>
      <c r="H4" s="1" t="s">
        <v>142</v>
      </c>
    </row>
    <row r="5" spans="1:8" x14ac:dyDescent="0.3">
      <c r="A5" s="1">
        <v>4</v>
      </c>
      <c r="B5" s="1">
        <v>102</v>
      </c>
      <c r="C5" s="1" t="s">
        <v>140</v>
      </c>
      <c r="D5" s="1">
        <v>50</v>
      </c>
      <c r="E5" s="1">
        <v>10</v>
      </c>
      <c r="F5" s="1" t="s">
        <v>141</v>
      </c>
      <c r="G5" s="1">
        <v>20</v>
      </c>
      <c r="H5" s="1" t="s">
        <v>142</v>
      </c>
    </row>
    <row r="6" spans="1:8" x14ac:dyDescent="0.3">
      <c r="A6" s="1">
        <v>5</v>
      </c>
      <c r="B6" s="1">
        <v>102</v>
      </c>
      <c r="C6" s="1" t="s">
        <v>143</v>
      </c>
      <c r="D6" s="1">
        <v>35</v>
      </c>
      <c r="E6" s="1">
        <v>8</v>
      </c>
      <c r="F6" s="1" t="s">
        <v>141</v>
      </c>
      <c r="G6" s="1">
        <v>20</v>
      </c>
      <c r="H6" s="1" t="s">
        <v>142</v>
      </c>
    </row>
    <row r="7" spans="1:8" x14ac:dyDescent="0.3">
      <c r="A7" s="1">
        <v>6</v>
      </c>
      <c r="B7" s="1">
        <v>102</v>
      </c>
      <c r="C7" s="1" t="s">
        <v>144</v>
      </c>
      <c r="D7" s="1">
        <v>45</v>
      </c>
      <c r="E7" s="1">
        <v>15</v>
      </c>
      <c r="F7" s="1" t="s">
        <v>141</v>
      </c>
      <c r="G7" s="1">
        <v>20</v>
      </c>
      <c r="H7" s="1" t="s">
        <v>142</v>
      </c>
    </row>
    <row r="8" spans="1:8" x14ac:dyDescent="0.3">
      <c r="A8" s="1">
        <v>7</v>
      </c>
      <c r="B8" s="1">
        <v>103</v>
      </c>
      <c r="C8" s="1" t="s">
        <v>140</v>
      </c>
      <c r="D8" s="1">
        <v>100</v>
      </c>
      <c r="E8" s="1">
        <v>20</v>
      </c>
      <c r="F8" s="1" t="s">
        <v>141</v>
      </c>
      <c r="G8" s="1">
        <v>50</v>
      </c>
      <c r="H8" s="1" t="s">
        <v>142</v>
      </c>
    </row>
    <row r="9" spans="1:8" x14ac:dyDescent="0.3">
      <c r="A9" s="1">
        <v>8</v>
      </c>
      <c r="B9" s="1">
        <v>103</v>
      </c>
      <c r="C9" s="1" t="s">
        <v>143</v>
      </c>
      <c r="D9" s="1">
        <v>80</v>
      </c>
      <c r="E9" s="1">
        <v>15</v>
      </c>
      <c r="F9" s="1" t="s">
        <v>141</v>
      </c>
      <c r="G9" s="1">
        <v>50</v>
      </c>
      <c r="H9" s="1" t="s">
        <v>142</v>
      </c>
    </row>
    <row r="10" spans="1:8" x14ac:dyDescent="0.3">
      <c r="A10" s="1">
        <v>9</v>
      </c>
      <c r="B10" s="1">
        <v>104</v>
      </c>
      <c r="C10" s="1" t="s">
        <v>140</v>
      </c>
      <c r="D10" s="1">
        <v>200</v>
      </c>
      <c r="E10" s="1">
        <v>40</v>
      </c>
      <c r="F10" s="1" t="s">
        <v>141</v>
      </c>
      <c r="G10" s="1">
        <v>100</v>
      </c>
      <c r="H10" s="1" t="s">
        <v>142</v>
      </c>
    </row>
    <row r="11" spans="1:8" x14ac:dyDescent="0.3">
      <c r="A11" s="1">
        <v>10</v>
      </c>
      <c r="B11" s="1">
        <v>104</v>
      </c>
      <c r="C11" s="1" t="s">
        <v>143</v>
      </c>
      <c r="D11" s="1">
        <v>150</v>
      </c>
      <c r="E11" s="1">
        <v>30</v>
      </c>
      <c r="F11" s="1" t="s">
        <v>141</v>
      </c>
      <c r="G11" s="1">
        <v>100</v>
      </c>
      <c r="H11" s="1" t="s">
        <v>142</v>
      </c>
    </row>
    <row r="12" spans="1:8" x14ac:dyDescent="0.3">
      <c r="A12" s="1">
        <v>11</v>
      </c>
      <c r="B12" s="1">
        <v>105</v>
      </c>
      <c r="C12" s="1" t="s">
        <v>140</v>
      </c>
      <c r="D12" s="1">
        <v>300</v>
      </c>
      <c r="E12" s="1">
        <v>60</v>
      </c>
      <c r="F12" s="1" t="s">
        <v>141</v>
      </c>
      <c r="G12" s="1">
        <v>150</v>
      </c>
      <c r="H12" s="1" t="s">
        <v>142</v>
      </c>
    </row>
    <row r="13" spans="1:8" x14ac:dyDescent="0.3">
      <c r="A13" s="1">
        <v>12</v>
      </c>
      <c r="B13" s="1">
        <v>105</v>
      </c>
      <c r="C13" s="1" t="s">
        <v>144</v>
      </c>
      <c r="D13" s="1">
        <v>250</v>
      </c>
      <c r="E13" s="1">
        <v>50</v>
      </c>
      <c r="F13" s="1" t="s">
        <v>141</v>
      </c>
      <c r="G13" s="1">
        <v>150</v>
      </c>
      <c r="H13" s="1" t="s">
        <v>142</v>
      </c>
    </row>
    <row r="14" spans="1:8" x14ac:dyDescent="0.3">
      <c r="A14" s="1">
        <v>13</v>
      </c>
      <c r="B14" s="1">
        <v>106</v>
      </c>
      <c r="C14" s="1" t="s">
        <v>140</v>
      </c>
      <c r="D14" s="1">
        <v>40</v>
      </c>
      <c r="E14" s="1">
        <v>8</v>
      </c>
      <c r="F14" s="1" t="s">
        <v>141</v>
      </c>
      <c r="G14" s="1">
        <v>20</v>
      </c>
      <c r="H14" s="1" t="s">
        <v>142</v>
      </c>
    </row>
    <row r="15" spans="1:8" x14ac:dyDescent="0.3">
      <c r="A15" s="1">
        <v>14</v>
      </c>
      <c r="B15" s="1">
        <v>106</v>
      </c>
      <c r="C15" s="1" t="s">
        <v>143</v>
      </c>
      <c r="D15" s="1">
        <v>35</v>
      </c>
      <c r="E15" s="1">
        <v>7</v>
      </c>
      <c r="F15" s="1" t="s">
        <v>141</v>
      </c>
      <c r="G15" s="1">
        <v>20</v>
      </c>
      <c r="H15" s="1" t="s">
        <v>145</v>
      </c>
    </row>
    <row r="16" spans="1:8" x14ac:dyDescent="0.3">
      <c r="A16" s="1">
        <v>15</v>
      </c>
      <c r="B16" s="1">
        <v>107</v>
      </c>
      <c r="C16" s="1" t="s">
        <v>144</v>
      </c>
      <c r="D16" s="1">
        <v>60</v>
      </c>
      <c r="E16" s="1">
        <v>12</v>
      </c>
      <c r="F16" s="1" t="s">
        <v>141</v>
      </c>
      <c r="G16" s="1">
        <v>30</v>
      </c>
      <c r="H16" s="1" t="s">
        <v>142</v>
      </c>
    </row>
    <row r="17" spans="1:8" x14ac:dyDescent="0.3">
      <c r="A17" s="1">
        <v>16</v>
      </c>
      <c r="B17" s="1">
        <v>107</v>
      </c>
      <c r="C17" s="1" t="s">
        <v>140</v>
      </c>
      <c r="D17" s="1">
        <v>50</v>
      </c>
      <c r="E17" s="1">
        <v>10</v>
      </c>
      <c r="F17" s="1" t="s">
        <v>141</v>
      </c>
      <c r="G17" s="1">
        <v>30</v>
      </c>
      <c r="H17" s="1" t="s">
        <v>142</v>
      </c>
    </row>
    <row r="18" spans="1:8" x14ac:dyDescent="0.3">
      <c r="A18" s="1">
        <v>17</v>
      </c>
      <c r="B18" s="1">
        <v>108</v>
      </c>
      <c r="C18" s="1" t="s">
        <v>143</v>
      </c>
      <c r="D18" s="1">
        <v>400</v>
      </c>
      <c r="E18" s="1">
        <v>80</v>
      </c>
      <c r="F18" s="1" t="s">
        <v>141</v>
      </c>
      <c r="G18" s="1">
        <v>200</v>
      </c>
      <c r="H18" s="1" t="s">
        <v>142</v>
      </c>
    </row>
    <row r="19" spans="1:8" x14ac:dyDescent="0.3">
      <c r="A19" s="1">
        <v>18</v>
      </c>
      <c r="B19" s="1">
        <v>109</v>
      </c>
      <c r="C19" s="1" t="s">
        <v>140</v>
      </c>
      <c r="D19" s="1">
        <v>150</v>
      </c>
      <c r="E19" s="1">
        <v>30</v>
      </c>
      <c r="F19" s="1" t="s">
        <v>141</v>
      </c>
      <c r="G19" s="1">
        <v>75</v>
      </c>
      <c r="H19" s="1" t="s">
        <v>142</v>
      </c>
    </row>
    <row r="20" spans="1:8" x14ac:dyDescent="0.3">
      <c r="A20" s="1">
        <v>19</v>
      </c>
      <c r="B20" s="1">
        <v>110</v>
      </c>
      <c r="C20" s="1" t="s">
        <v>144</v>
      </c>
      <c r="D20" s="1">
        <v>80</v>
      </c>
      <c r="E20" s="1">
        <v>16</v>
      </c>
      <c r="F20" s="1" t="s">
        <v>141</v>
      </c>
      <c r="G20" s="1">
        <v>40</v>
      </c>
      <c r="H20" s="1" t="s">
        <v>142</v>
      </c>
    </row>
    <row r="21" spans="1:8" x14ac:dyDescent="0.3">
      <c r="A21" s="1">
        <v>20</v>
      </c>
      <c r="B21" s="1">
        <v>110</v>
      </c>
      <c r="C21" s="1" t="s">
        <v>143</v>
      </c>
      <c r="D21" s="1">
        <v>70</v>
      </c>
      <c r="E21" s="1">
        <v>14</v>
      </c>
      <c r="F21" s="1" t="s">
        <v>141</v>
      </c>
      <c r="G21" s="1">
        <v>40</v>
      </c>
      <c r="H21" s="1" t="s">
        <v>142</v>
      </c>
    </row>
    <row r="22" spans="1:8" x14ac:dyDescent="0.3">
      <c r="A22" s="1">
        <v>21</v>
      </c>
      <c r="B22" s="1">
        <v>101</v>
      </c>
      <c r="C22" s="1" t="s">
        <v>146</v>
      </c>
      <c r="D22" s="1">
        <v>20</v>
      </c>
      <c r="E22" s="1">
        <v>4</v>
      </c>
      <c r="F22" s="1" t="s">
        <v>141</v>
      </c>
      <c r="G22" s="1">
        <v>10</v>
      </c>
      <c r="H22" s="1" t="s">
        <v>142</v>
      </c>
    </row>
    <row r="23" spans="1:8" x14ac:dyDescent="0.3">
      <c r="A23" s="1">
        <v>22</v>
      </c>
      <c r="B23" s="1">
        <v>102</v>
      </c>
      <c r="C23" s="1" t="s">
        <v>146</v>
      </c>
      <c r="D23" s="1">
        <v>25</v>
      </c>
      <c r="E23" s="1">
        <v>5</v>
      </c>
      <c r="F23" s="1" t="s">
        <v>141</v>
      </c>
      <c r="G23" s="1">
        <v>20</v>
      </c>
      <c r="H23" s="1" t="s">
        <v>145</v>
      </c>
    </row>
    <row r="24" spans="1:8" x14ac:dyDescent="0.3">
      <c r="A24" s="1">
        <v>23</v>
      </c>
      <c r="B24" s="1">
        <v>103</v>
      </c>
      <c r="C24" s="1" t="s">
        <v>146</v>
      </c>
      <c r="D24" s="1">
        <v>75</v>
      </c>
      <c r="E24" s="1">
        <v>15</v>
      </c>
      <c r="F24" s="1" t="s">
        <v>141</v>
      </c>
      <c r="G24" s="1">
        <v>50</v>
      </c>
      <c r="H24" s="1" t="s">
        <v>142</v>
      </c>
    </row>
    <row r="25" spans="1:8" x14ac:dyDescent="0.3">
      <c r="A25" s="1">
        <v>24</v>
      </c>
      <c r="B25" s="1">
        <v>104</v>
      </c>
      <c r="C25" s="1" t="s">
        <v>144</v>
      </c>
      <c r="D25" s="1">
        <v>180</v>
      </c>
      <c r="E25" s="1">
        <v>36</v>
      </c>
      <c r="F25" s="1" t="s">
        <v>141</v>
      </c>
      <c r="G25" s="1">
        <v>100</v>
      </c>
      <c r="H25" s="1" t="s">
        <v>142</v>
      </c>
    </row>
    <row r="26" spans="1:8" x14ac:dyDescent="0.3">
      <c r="A26" s="1">
        <v>25</v>
      </c>
      <c r="B26" s="1">
        <v>105</v>
      </c>
      <c r="C26" s="1" t="s">
        <v>143</v>
      </c>
      <c r="D26" s="1">
        <v>280</v>
      </c>
      <c r="E26" s="1">
        <v>56</v>
      </c>
      <c r="F26" s="1" t="s">
        <v>141</v>
      </c>
      <c r="G26" s="1">
        <v>150</v>
      </c>
      <c r="H26" s="1" t="s">
        <v>142</v>
      </c>
    </row>
    <row r="27" spans="1:8" x14ac:dyDescent="0.3">
      <c r="A27" s="1">
        <v>26</v>
      </c>
      <c r="B27" s="1">
        <v>106</v>
      </c>
      <c r="C27" s="1" t="s">
        <v>144</v>
      </c>
      <c r="D27" s="1">
        <v>45</v>
      </c>
      <c r="E27" s="1">
        <v>9</v>
      </c>
      <c r="F27" s="1" t="s">
        <v>141</v>
      </c>
      <c r="G27" s="1">
        <v>20</v>
      </c>
      <c r="H27" s="1" t="s">
        <v>142</v>
      </c>
    </row>
    <row r="28" spans="1:8" x14ac:dyDescent="0.3">
      <c r="A28" s="1">
        <v>27</v>
      </c>
      <c r="B28" s="1">
        <v>107</v>
      </c>
      <c r="C28" s="1" t="s">
        <v>143</v>
      </c>
      <c r="D28" s="1">
        <v>55</v>
      </c>
      <c r="E28" s="1">
        <v>11</v>
      </c>
      <c r="F28" s="1" t="s">
        <v>141</v>
      </c>
      <c r="G28" s="1">
        <v>30</v>
      </c>
      <c r="H28" s="1" t="s">
        <v>142</v>
      </c>
    </row>
    <row r="29" spans="1:8" x14ac:dyDescent="0.3">
      <c r="A29" s="1">
        <v>28</v>
      </c>
      <c r="B29" s="1">
        <v>108</v>
      </c>
      <c r="C29" s="1" t="s">
        <v>140</v>
      </c>
      <c r="D29" s="1">
        <v>380</v>
      </c>
      <c r="E29" s="1">
        <v>76</v>
      </c>
      <c r="F29" s="1" t="s">
        <v>141</v>
      </c>
      <c r="G29" s="1">
        <v>200</v>
      </c>
      <c r="H29" s="1" t="s">
        <v>142</v>
      </c>
    </row>
    <row r="30" spans="1:8" x14ac:dyDescent="0.3">
      <c r="A30" s="1">
        <v>29</v>
      </c>
      <c r="B30" s="1">
        <v>109</v>
      </c>
      <c r="C30" s="1" t="s">
        <v>143</v>
      </c>
      <c r="D30" s="1">
        <v>140</v>
      </c>
      <c r="E30" s="1">
        <v>28</v>
      </c>
      <c r="F30" s="1" t="s">
        <v>141</v>
      </c>
      <c r="G30" s="1">
        <v>75</v>
      </c>
      <c r="H30" s="1" t="s">
        <v>142</v>
      </c>
    </row>
    <row r="31" spans="1:8" x14ac:dyDescent="0.3">
      <c r="A31" s="1">
        <v>30</v>
      </c>
      <c r="B31" s="1">
        <v>110</v>
      </c>
      <c r="C31" s="1" t="s">
        <v>140</v>
      </c>
      <c r="D31" s="1">
        <v>85</v>
      </c>
      <c r="E31" s="1">
        <v>17</v>
      </c>
      <c r="F31" s="1" t="s">
        <v>141</v>
      </c>
      <c r="G31" s="1">
        <v>40</v>
      </c>
      <c r="H31" s="1" t="s">
        <v>142</v>
      </c>
    </row>
    <row r="33" spans="1:8" x14ac:dyDescent="0.3">
      <c r="B33" s="1" t="s">
        <v>309</v>
      </c>
    </row>
    <row r="34" spans="1:8" x14ac:dyDescent="0.3">
      <c r="A34" s="12"/>
      <c r="B34" s="12"/>
      <c r="C34" s="13">
        <f>SUMIF(MToO_inventory[ProductID],B36,MToO_inventory[Quantity_Available])</f>
        <v>155</v>
      </c>
      <c r="D34" s="12"/>
    </row>
    <row r="35" spans="1:8" x14ac:dyDescent="0.3">
      <c r="A35" s="14" t="s">
        <v>307</v>
      </c>
      <c r="B35" s="14" t="s">
        <v>304</v>
      </c>
      <c r="C35" s="14" t="s">
        <v>305</v>
      </c>
      <c r="D35" s="15" t="s">
        <v>306</v>
      </c>
      <c r="F35" s="6"/>
      <c r="G35" s="5"/>
      <c r="H35" s="5"/>
    </row>
    <row r="36" spans="1:8" x14ac:dyDescent="0.3">
      <c r="A36" s="12"/>
      <c r="B36" s="16">
        <v>102</v>
      </c>
      <c r="C36" s="17" cm="1">
        <f t="array" ref="C36:C39">_xlfn._xlws.FILTER(MToO_inventory[Quantity_Available],MToO_inventory[ProductID]=B36)</f>
        <v>50</v>
      </c>
      <c r="D36" s="12" t="str" cm="1">
        <f t="array" ref="D36:D39">_xlfn._xlws.FILTER(MToO_inventory[Warehouse_Location],MToO_inventory[ProductID]=B36)</f>
        <v>Mumbai Warehouse</v>
      </c>
    </row>
    <row r="37" spans="1:8" x14ac:dyDescent="0.3">
      <c r="A37" s="12"/>
      <c r="B37" s="12"/>
      <c r="C37" s="17">
        <v>35</v>
      </c>
      <c r="D37" s="12" t="str">
        <v>Delhi Warehouse</v>
      </c>
    </row>
    <row r="38" spans="1:8" x14ac:dyDescent="0.3">
      <c r="A38" s="12"/>
      <c r="B38" s="12"/>
      <c r="C38" s="17">
        <v>45</v>
      </c>
      <c r="D38" s="12" t="str">
        <v>Bangalore Warehouse</v>
      </c>
    </row>
    <row r="39" spans="1:8" x14ac:dyDescent="0.3">
      <c r="A39" s="12"/>
      <c r="B39" s="12"/>
      <c r="C39" s="17">
        <v>25</v>
      </c>
      <c r="D39" s="12" t="str">
        <v>Kolkata Warehouse</v>
      </c>
    </row>
  </sheetData>
  <dataValidations count="2">
    <dataValidation type="list" allowBlank="1" showInputMessage="1" showErrorMessage="1" sqref="B36" xr:uid="{481AF0AA-DCBA-4363-A481-247299513647}">
      <formula1>$B$2:$B$31</formula1>
    </dataValidation>
    <dataValidation type="list" allowBlank="1" showInputMessage="1" showErrorMessage="1" sqref="F36" xr:uid="{1767F885-359E-4366-BBFF-1B2C3B1682FF}">
      <formula1>$C$2:$C$31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zoomScale="130" zoomScaleNormal="130" workbookViewId="0">
      <selection sqref="A1:A11"/>
    </sheetView>
  </sheetViews>
  <sheetFormatPr defaultRowHeight="14.4" x14ac:dyDescent="0.3"/>
  <cols>
    <col min="1" max="8" width="18" customWidth="1"/>
  </cols>
  <sheetData>
    <row r="1" spans="1:8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65</v>
      </c>
      <c r="H1" s="1" t="s">
        <v>153</v>
      </c>
    </row>
    <row r="2" spans="1:8" x14ac:dyDescent="0.3">
      <c r="A2" s="1">
        <v>2001</v>
      </c>
      <c r="B2" s="1" t="s">
        <v>8</v>
      </c>
      <c r="C2" s="1" t="s">
        <v>154</v>
      </c>
      <c r="D2" s="1" t="s">
        <v>155</v>
      </c>
      <c r="E2" s="1" t="s">
        <v>156</v>
      </c>
      <c r="F2" s="1">
        <v>0</v>
      </c>
      <c r="G2" s="1" t="s">
        <v>157</v>
      </c>
      <c r="H2" s="1" t="s">
        <v>9</v>
      </c>
    </row>
    <row r="3" spans="1:8" x14ac:dyDescent="0.3">
      <c r="A3" s="1">
        <v>2002</v>
      </c>
      <c r="B3" s="1" t="s">
        <v>14</v>
      </c>
      <c r="C3" s="1" t="s">
        <v>158</v>
      </c>
      <c r="D3" s="1" t="s">
        <v>159</v>
      </c>
      <c r="E3" s="1" t="s">
        <v>160</v>
      </c>
      <c r="F3" s="1">
        <v>2005</v>
      </c>
      <c r="G3" s="1" t="s">
        <v>157</v>
      </c>
      <c r="H3" s="1" t="s">
        <v>20</v>
      </c>
    </row>
    <row r="4" spans="1:8" x14ac:dyDescent="0.3">
      <c r="A4" s="1">
        <v>2003</v>
      </c>
      <c r="B4" s="1" t="s">
        <v>19</v>
      </c>
      <c r="C4" s="1" t="s">
        <v>161</v>
      </c>
      <c r="D4" s="1" t="s">
        <v>162</v>
      </c>
      <c r="E4" s="1" t="s">
        <v>163</v>
      </c>
      <c r="F4" s="1">
        <v>0</v>
      </c>
      <c r="G4" s="1" t="s">
        <v>157</v>
      </c>
      <c r="H4" s="1" t="s">
        <v>15</v>
      </c>
    </row>
    <row r="5" spans="1:8" x14ac:dyDescent="0.3">
      <c r="A5" s="1">
        <v>2004</v>
      </c>
      <c r="B5" s="1" t="s">
        <v>24</v>
      </c>
      <c r="C5" s="1" t="s">
        <v>164</v>
      </c>
      <c r="D5" s="1" t="s">
        <v>165</v>
      </c>
      <c r="E5" s="1" t="s">
        <v>166</v>
      </c>
      <c r="F5" s="1">
        <v>0</v>
      </c>
      <c r="G5" s="1" t="s">
        <v>157</v>
      </c>
      <c r="H5" s="1" t="s">
        <v>25</v>
      </c>
    </row>
    <row r="6" spans="1:8" x14ac:dyDescent="0.3">
      <c r="A6" s="1">
        <v>2005</v>
      </c>
      <c r="B6" s="1" t="s">
        <v>29</v>
      </c>
      <c r="C6" s="1" t="s">
        <v>158</v>
      </c>
      <c r="D6" s="1" t="s">
        <v>167</v>
      </c>
      <c r="E6" s="1" t="s">
        <v>168</v>
      </c>
      <c r="F6" s="1">
        <v>0</v>
      </c>
      <c r="G6" s="1" t="s">
        <v>157</v>
      </c>
      <c r="H6" s="1" t="s">
        <v>20</v>
      </c>
    </row>
    <row r="7" spans="1:8" x14ac:dyDescent="0.3">
      <c r="A7" s="1">
        <v>2006</v>
      </c>
      <c r="B7" s="1" t="s">
        <v>34</v>
      </c>
      <c r="C7" s="1" t="s">
        <v>154</v>
      </c>
      <c r="D7" s="1" t="s">
        <v>169</v>
      </c>
      <c r="E7" s="1" t="s">
        <v>170</v>
      </c>
      <c r="F7" s="1">
        <v>2001</v>
      </c>
      <c r="G7" s="1" t="s">
        <v>157</v>
      </c>
      <c r="H7" s="1" t="s">
        <v>9</v>
      </c>
    </row>
    <row r="8" spans="1:8" x14ac:dyDescent="0.3">
      <c r="A8" s="1">
        <v>2007</v>
      </c>
      <c r="B8" s="1" t="s">
        <v>39</v>
      </c>
      <c r="C8" s="1" t="s">
        <v>161</v>
      </c>
      <c r="D8" s="1" t="s">
        <v>171</v>
      </c>
      <c r="E8" s="1" t="s">
        <v>172</v>
      </c>
      <c r="F8" s="1">
        <v>0</v>
      </c>
      <c r="G8" s="1" t="s">
        <v>157</v>
      </c>
      <c r="H8" s="1" t="s">
        <v>15</v>
      </c>
    </row>
    <row r="9" spans="1:8" x14ac:dyDescent="0.3">
      <c r="A9" s="1">
        <v>2008</v>
      </c>
      <c r="B9" s="1" t="s">
        <v>44</v>
      </c>
      <c r="C9" s="1" t="s">
        <v>158</v>
      </c>
      <c r="D9" s="1" t="s">
        <v>173</v>
      </c>
      <c r="E9" s="1" t="s">
        <v>174</v>
      </c>
      <c r="F9" s="1">
        <v>2005</v>
      </c>
      <c r="G9" s="1" t="s">
        <v>157</v>
      </c>
      <c r="H9" s="1" t="s">
        <v>20</v>
      </c>
    </row>
    <row r="10" spans="1:8" x14ac:dyDescent="0.3">
      <c r="A10" s="1">
        <v>2009</v>
      </c>
      <c r="B10" s="1" t="s">
        <v>49</v>
      </c>
      <c r="C10" s="1" t="s">
        <v>154</v>
      </c>
      <c r="D10" s="1" t="s">
        <v>169</v>
      </c>
      <c r="E10" s="1" t="s">
        <v>175</v>
      </c>
      <c r="F10" s="1">
        <v>2001</v>
      </c>
      <c r="G10" s="1" t="s">
        <v>157</v>
      </c>
      <c r="H10" s="1" t="s">
        <v>9</v>
      </c>
    </row>
    <row r="11" spans="1:8" x14ac:dyDescent="0.3">
      <c r="A11" s="1">
        <v>2010</v>
      </c>
      <c r="B11" s="1" t="s">
        <v>54</v>
      </c>
      <c r="C11" s="1" t="s">
        <v>164</v>
      </c>
      <c r="D11" s="1" t="s">
        <v>176</v>
      </c>
      <c r="E11" s="1" t="s">
        <v>177</v>
      </c>
      <c r="F11" s="1">
        <v>2004</v>
      </c>
      <c r="G11" s="1" t="s">
        <v>157</v>
      </c>
      <c r="H11" s="1" t="s">
        <v>25</v>
      </c>
    </row>
    <row r="13" spans="1:8" ht="19.8" x14ac:dyDescent="0.4">
      <c r="A13" s="19" t="s">
        <v>308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topLeftCell="A10" zoomScale="130" zoomScaleNormal="130" workbookViewId="0">
      <selection activeCell="F22" sqref="F22"/>
    </sheetView>
  </sheetViews>
  <sheetFormatPr defaultRowHeight="14.4" x14ac:dyDescent="0.3"/>
  <cols>
    <col min="1" max="8" width="18" customWidth="1"/>
  </cols>
  <sheetData>
    <row r="1" spans="1:8" x14ac:dyDescent="0.3">
      <c r="A1" s="1" t="s">
        <v>178</v>
      </c>
      <c r="B1" s="1" t="s">
        <v>147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 x14ac:dyDescent="0.3">
      <c r="A2" s="1">
        <v>3001</v>
      </c>
      <c r="B2" s="1">
        <v>2001</v>
      </c>
      <c r="C2" s="1">
        <v>100000</v>
      </c>
      <c r="D2" s="1">
        <v>20000</v>
      </c>
      <c r="E2" s="1">
        <v>10000</v>
      </c>
      <c r="F2" s="1">
        <v>5000</v>
      </c>
      <c r="G2" s="1">
        <v>125000</v>
      </c>
      <c r="H2" s="1" t="s">
        <v>185</v>
      </c>
    </row>
    <row r="3" spans="1:8" x14ac:dyDescent="0.3">
      <c r="A3" s="1">
        <v>3002</v>
      </c>
      <c r="B3" s="1">
        <v>2002</v>
      </c>
      <c r="C3" s="1">
        <v>80000</v>
      </c>
      <c r="D3" s="1">
        <v>16000</v>
      </c>
      <c r="E3" s="1">
        <v>8000</v>
      </c>
      <c r="F3" s="1">
        <v>4000</v>
      </c>
      <c r="G3" s="1">
        <v>100000</v>
      </c>
      <c r="H3" s="1" t="s">
        <v>185</v>
      </c>
    </row>
    <row r="4" spans="1:8" x14ac:dyDescent="0.3">
      <c r="A4" s="1">
        <v>3003</v>
      </c>
      <c r="B4" s="1">
        <v>2003</v>
      </c>
      <c r="C4" s="1">
        <v>70000</v>
      </c>
      <c r="D4" s="1">
        <v>14000</v>
      </c>
      <c r="E4" s="1">
        <v>7000</v>
      </c>
      <c r="F4" s="1">
        <v>3500</v>
      </c>
      <c r="G4" s="1">
        <v>87500</v>
      </c>
      <c r="H4" s="1" t="s">
        <v>185</v>
      </c>
    </row>
    <row r="5" spans="1:8" x14ac:dyDescent="0.3">
      <c r="A5" s="1">
        <v>3004</v>
      </c>
      <c r="B5" s="1">
        <v>2004</v>
      </c>
      <c r="C5" s="1">
        <v>75000</v>
      </c>
      <c r="D5" s="1">
        <v>15000</v>
      </c>
      <c r="E5" s="1">
        <v>7500</v>
      </c>
      <c r="F5" s="1">
        <v>3750</v>
      </c>
      <c r="G5" s="1">
        <v>93750</v>
      </c>
      <c r="H5" s="1" t="s">
        <v>185</v>
      </c>
    </row>
    <row r="6" spans="1:8" x14ac:dyDescent="0.3">
      <c r="A6" s="1">
        <v>3005</v>
      </c>
      <c r="B6" s="1">
        <v>2005</v>
      </c>
      <c r="C6" s="1">
        <v>120000</v>
      </c>
      <c r="D6" s="1">
        <v>24000</v>
      </c>
      <c r="E6" s="1">
        <v>12000</v>
      </c>
      <c r="F6" s="1">
        <v>6000</v>
      </c>
      <c r="G6" s="1">
        <v>150000</v>
      </c>
      <c r="H6" s="1" t="s">
        <v>185</v>
      </c>
    </row>
    <row r="7" spans="1:8" x14ac:dyDescent="0.3">
      <c r="A7" s="1">
        <v>3006</v>
      </c>
      <c r="B7" s="1">
        <v>2006</v>
      </c>
      <c r="C7" s="1">
        <v>55000</v>
      </c>
      <c r="D7" s="1">
        <v>11000</v>
      </c>
      <c r="E7" s="1">
        <v>5500</v>
      </c>
      <c r="F7" s="1">
        <v>2750</v>
      </c>
      <c r="G7" s="1">
        <v>68750</v>
      </c>
      <c r="H7" s="1" t="s">
        <v>185</v>
      </c>
    </row>
    <row r="8" spans="1:8" x14ac:dyDescent="0.3">
      <c r="A8" s="1">
        <v>3007</v>
      </c>
      <c r="B8" s="1">
        <v>2007</v>
      </c>
      <c r="C8" s="1">
        <v>85000</v>
      </c>
      <c r="D8" s="1">
        <v>17000</v>
      </c>
      <c r="E8" s="1">
        <v>8500</v>
      </c>
      <c r="F8" s="1">
        <v>4250</v>
      </c>
      <c r="G8" s="1">
        <v>106250</v>
      </c>
      <c r="H8" s="1" t="s">
        <v>185</v>
      </c>
    </row>
    <row r="9" spans="1:8" x14ac:dyDescent="0.3">
      <c r="A9" s="1">
        <v>3008</v>
      </c>
      <c r="B9" s="1">
        <v>2008</v>
      </c>
      <c r="C9" s="1">
        <v>65000</v>
      </c>
      <c r="D9" s="1">
        <v>13000</v>
      </c>
      <c r="E9" s="1">
        <v>6500</v>
      </c>
      <c r="F9" s="1">
        <v>3250</v>
      </c>
      <c r="G9" s="1">
        <v>81250</v>
      </c>
      <c r="H9" s="1" t="s">
        <v>185</v>
      </c>
    </row>
    <row r="10" spans="1:8" x14ac:dyDescent="0.3">
      <c r="A10" s="1">
        <v>3009</v>
      </c>
      <c r="B10" s="1">
        <v>2009</v>
      </c>
      <c r="C10" s="1">
        <v>55000</v>
      </c>
      <c r="D10" s="1">
        <v>11000</v>
      </c>
      <c r="E10" s="1">
        <v>5500</v>
      </c>
      <c r="F10" s="1">
        <v>2750</v>
      </c>
      <c r="G10" s="1">
        <v>68750</v>
      </c>
      <c r="H10" s="1" t="s">
        <v>185</v>
      </c>
    </row>
    <row r="11" spans="1:8" x14ac:dyDescent="0.3">
      <c r="A11" s="1">
        <v>3010</v>
      </c>
      <c r="B11" s="1">
        <v>2010</v>
      </c>
      <c r="C11" s="1">
        <v>50000</v>
      </c>
      <c r="D11" s="1">
        <v>10000</v>
      </c>
      <c r="E11" s="1">
        <v>5000</v>
      </c>
      <c r="F11" s="1">
        <v>2500</v>
      </c>
      <c r="G11" s="1">
        <v>62500</v>
      </c>
      <c r="H11" s="1" t="s">
        <v>185</v>
      </c>
    </row>
    <row r="13" spans="1:8" ht="19.8" x14ac:dyDescent="0.4">
      <c r="A13" s="19" t="s">
        <v>308</v>
      </c>
      <c r="B13" s="19" t="s">
        <v>309</v>
      </c>
    </row>
    <row r="16" spans="1:8" x14ac:dyDescent="0.3">
      <c r="A16" s="5" t="s">
        <v>302</v>
      </c>
      <c r="B16" s="18" t="s">
        <v>310</v>
      </c>
      <c r="C16" s="18" t="s">
        <v>311</v>
      </c>
      <c r="D16" s="18" t="s">
        <v>312</v>
      </c>
      <c r="E16" s="18" t="s">
        <v>313</v>
      </c>
    </row>
    <row r="17" spans="2:5" x14ac:dyDescent="0.3">
      <c r="B17" s="11">
        <v>2008</v>
      </c>
      <c r="C17" s="7" t="str">
        <f>VLOOKUP(B17,OToO_Employee[[EmployeeID]:[Employee_Name]],2,0)</f>
        <v>Anjali Verma</v>
      </c>
      <c r="D17" s="7">
        <f>VLOOKUP(B17,OToO_Payroll[[EmployeeID]:[Basic_Salary]],2,0)</f>
        <v>65000</v>
      </c>
      <c r="E17" s="7">
        <f>VLOOKUP(B17,OToO_Payroll[[EmployeeID]:[Net_Salary]],6,0)</f>
        <v>81250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480E28-AE53-48F8-B6D9-943E2DFBAA51}">
          <x14:formula1>
            <xm:f>'1To1_Employees'!$A$2:$A$11</xm:f>
          </x14:formula1>
          <xm:sqref>B17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="130" zoomScaleNormal="130" workbookViewId="0">
      <selection activeCell="B13" sqref="B13"/>
    </sheetView>
  </sheetViews>
  <sheetFormatPr defaultRowHeight="14.4" x14ac:dyDescent="0.3"/>
  <cols>
    <col min="1" max="8" width="18" style="3" customWidth="1"/>
  </cols>
  <sheetData>
    <row r="1" spans="1:8" x14ac:dyDescent="0.3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4</v>
      </c>
      <c r="G1" s="3" t="s">
        <v>191</v>
      </c>
      <c r="H1" s="3" t="s">
        <v>65</v>
      </c>
    </row>
    <row r="2" spans="1:8" x14ac:dyDescent="0.3">
      <c r="A2" s="3">
        <v>101</v>
      </c>
      <c r="B2" s="3" t="s">
        <v>192</v>
      </c>
      <c r="C2" s="3" t="s">
        <v>193</v>
      </c>
      <c r="D2" s="3" t="s">
        <v>194</v>
      </c>
      <c r="E2" s="3" t="s">
        <v>195</v>
      </c>
      <c r="F2" s="3" t="s">
        <v>196</v>
      </c>
      <c r="G2" s="4">
        <v>9876543210</v>
      </c>
      <c r="H2" s="3" t="s">
        <v>157</v>
      </c>
    </row>
    <row r="3" spans="1:8" x14ac:dyDescent="0.3">
      <c r="A3" s="3">
        <v>102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4">
        <v>9876543211</v>
      </c>
      <c r="H3" s="3" t="s">
        <v>157</v>
      </c>
    </row>
    <row r="4" spans="1:8" x14ac:dyDescent="0.3">
      <c r="A4" s="3">
        <v>103</v>
      </c>
      <c r="B4" s="3" t="s">
        <v>202</v>
      </c>
      <c r="C4" s="3" t="s">
        <v>203</v>
      </c>
      <c r="D4" s="3" t="s">
        <v>204</v>
      </c>
      <c r="E4" s="3" t="s">
        <v>205</v>
      </c>
      <c r="F4" s="3" t="s">
        <v>206</v>
      </c>
      <c r="G4" s="4">
        <v>9876543212</v>
      </c>
      <c r="H4" s="3" t="s">
        <v>157</v>
      </c>
    </row>
    <row r="5" spans="1:8" x14ac:dyDescent="0.3">
      <c r="A5" s="3">
        <v>104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211</v>
      </c>
      <c r="G5" s="4">
        <v>9876543213</v>
      </c>
      <c r="H5" s="3" t="s">
        <v>157</v>
      </c>
    </row>
    <row r="6" spans="1:8" x14ac:dyDescent="0.3">
      <c r="A6" s="3">
        <v>105</v>
      </c>
      <c r="B6" s="3" t="s">
        <v>212</v>
      </c>
      <c r="C6" s="3" t="s">
        <v>198</v>
      </c>
      <c r="D6" s="3" t="s">
        <v>213</v>
      </c>
      <c r="E6" s="3" t="s">
        <v>214</v>
      </c>
      <c r="F6" s="3" t="s">
        <v>215</v>
      </c>
      <c r="G6" s="4">
        <v>9876543214</v>
      </c>
      <c r="H6" s="3" t="s">
        <v>157</v>
      </c>
    </row>
    <row r="7" spans="1:8" x14ac:dyDescent="0.3">
      <c r="A7" s="3">
        <v>106</v>
      </c>
      <c r="B7" s="3" t="s">
        <v>216</v>
      </c>
      <c r="C7" s="3" t="s">
        <v>217</v>
      </c>
      <c r="D7" s="3" t="s">
        <v>218</v>
      </c>
      <c r="E7" s="3" t="s">
        <v>219</v>
      </c>
      <c r="F7" s="3" t="s">
        <v>220</v>
      </c>
      <c r="G7" s="4">
        <v>9876543215</v>
      </c>
      <c r="H7" s="3" t="s">
        <v>157</v>
      </c>
    </row>
    <row r="8" spans="1:8" x14ac:dyDescent="0.3">
      <c r="A8" s="3">
        <v>107</v>
      </c>
      <c r="B8" s="3" t="s">
        <v>221</v>
      </c>
      <c r="C8" s="3" t="s">
        <v>222</v>
      </c>
      <c r="D8" s="3" t="s">
        <v>223</v>
      </c>
      <c r="E8" s="3" t="s">
        <v>224</v>
      </c>
      <c r="F8" s="3" t="s">
        <v>225</v>
      </c>
      <c r="G8" s="4">
        <v>9876543216</v>
      </c>
      <c r="H8" s="3" t="s">
        <v>157</v>
      </c>
    </row>
    <row r="9" spans="1:8" x14ac:dyDescent="0.3">
      <c r="A9" s="3">
        <v>108</v>
      </c>
      <c r="B9" s="3" t="s">
        <v>226</v>
      </c>
      <c r="C9" s="3" t="s">
        <v>198</v>
      </c>
      <c r="D9" s="3" t="s">
        <v>227</v>
      </c>
      <c r="E9" s="3" t="s">
        <v>228</v>
      </c>
      <c r="F9" s="3" t="s">
        <v>229</v>
      </c>
      <c r="G9" s="4">
        <v>9876543217</v>
      </c>
      <c r="H9" s="3" t="s">
        <v>157</v>
      </c>
    </row>
    <row r="10" spans="1:8" x14ac:dyDescent="0.3">
      <c r="A10" s="3">
        <v>109</v>
      </c>
      <c r="B10" s="3" t="s">
        <v>230</v>
      </c>
      <c r="C10" s="3" t="s">
        <v>193</v>
      </c>
      <c r="D10" s="3" t="s">
        <v>194</v>
      </c>
      <c r="E10" s="3" t="s">
        <v>231</v>
      </c>
      <c r="F10" s="3" t="s">
        <v>232</v>
      </c>
      <c r="G10" s="4">
        <v>9876543218</v>
      </c>
      <c r="H10" s="3" t="s">
        <v>157</v>
      </c>
    </row>
    <row r="11" spans="1:8" x14ac:dyDescent="0.3">
      <c r="A11" s="3">
        <v>110</v>
      </c>
      <c r="B11" s="3" t="s">
        <v>233</v>
      </c>
      <c r="C11" s="3" t="s">
        <v>234</v>
      </c>
      <c r="D11" s="3" t="s">
        <v>235</v>
      </c>
      <c r="E11" s="3" t="s">
        <v>236</v>
      </c>
      <c r="F11" s="3" t="s">
        <v>237</v>
      </c>
      <c r="G11" s="4">
        <v>9876543219</v>
      </c>
      <c r="H11" s="3" t="s">
        <v>157</v>
      </c>
    </row>
    <row r="13" spans="1:8" ht="19.8" x14ac:dyDescent="0.4">
      <c r="A13" s="19" t="s">
        <v>308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130" zoomScaleNormal="130" workbookViewId="0">
      <selection activeCell="A2" sqref="A2:A11"/>
    </sheetView>
  </sheetViews>
  <sheetFormatPr defaultRowHeight="14.4" x14ac:dyDescent="0.3"/>
  <cols>
    <col min="1" max="2" width="18" style="3" customWidth="1"/>
    <col min="3" max="3" width="24.77734375" style="3" bestFit="1" customWidth="1"/>
    <col min="4" max="8" width="18" style="3" customWidth="1"/>
    <col min="9" max="16384" width="8.88671875" style="1"/>
  </cols>
  <sheetData>
    <row r="1" spans="1:8" x14ac:dyDescent="0.3">
      <c r="A1" s="3" t="s">
        <v>238</v>
      </c>
      <c r="B1" s="3" t="s">
        <v>239</v>
      </c>
      <c r="C1" s="3" t="s">
        <v>240</v>
      </c>
      <c r="D1" s="3" t="s">
        <v>149</v>
      </c>
      <c r="E1" s="3" t="s">
        <v>241</v>
      </c>
      <c r="F1" s="3" t="s">
        <v>242</v>
      </c>
      <c r="G1" s="3" t="s">
        <v>243</v>
      </c>
      <c r="H1" s="3" t="s">
        <v>244</v>
      </c>
    </row>
    <row r="2" spans="1:8" x14ac:dyDescent="0.3">
      <c r="A2" s="3">
        <v>401</v>
      </c>
      <c r="B2" s="3" t="s">
        <v>245</v>
      </c>
      <c r="C2" s="3" t="s">
        <v>246</v>
      </c>
      <c r="D2" s="3" t="s">
        <v>247</v>
      </c>
      <c r="E2" s="3">
        <v>4</v>
      </c>
      <c r="F2" s="3" t="s">
        <v>248</v>
      </c>
      <c r="G2" s="3" t="s">
        <v>249</v>
      </c>
      <c r="H2" s="3">
        <v>60</v>
      </c>
    </row>
    <row r="3" spans="1:8" x14ac:dyDescent="0.3">
      <c r="A3" s="3">
        <v>402</v>
      </c>
      <c r="B3" s="3" t="s">
        <v>250</v>
      </c>
      <c r="C3" s="3" t="s">
        <v>251</v>
      </c>
      <c r="D3" s="3" t="s">
        <v>247</v>
      </c>
      <c r="E3" s="3">
        <v>4</v>
      </c>
      <c r="F3" s="3" t="s">
        <v>252</v>
      </c>
      <c r="G3" s="3" t="s">
        <v>253</v>
      </c>
      <c r="H3" s="3">
        <v>60</v>
      </c>
    </row>
    <row r="4" spans="1:8" x14ac:dyDescent="0.3">
      <c r="A4" s="3">
        <v>403</v>
      </c>
      <c r="B4" s="3" t="s">
        <v>254</v>
      </c>
      <c r="C4" s="3" t="s">
        <v>255</v>
      </c>
      <c r="D4" s="3" t="s">
        <v>256</v>
      </c>
      <c r="E4" s="3">
        <v>3</v>
      </c>
      <c r="F4" s="3" t="s">
        <v>257</v>
      </c>
      <c r="G4" s="3" t="s">
        <v>249</v>
      </c>
      <c r="H4" s="3">
        <v>100</v>
      </c>
    </row>
    <row r="5" spans="1:8" x14ac:dyDescent="0.3">
      <c r="A5" s="3">
        <v>404</v>
      </c>
      <c r="B5" s="3" t="s">
        <v>258</v>
      </c>
      <c r="C5" s="3" t="s">
        <v>259</v>
      </c>
      <c r="D5" s="3" t="s">
        <v>260</v>
      </c>
      <c r="E5" s="3">
        <v>4</v>
      </c>
      <c r="F5" s="3" t="s">
        <v>261</v>
      </c>
      <c r="G5" s="3" t="s">
        <v>249</v>
      </c>
      <c r="H5" s="3">
        <v>80</v>
      </c>
    </row>
    <row r="6" spans="1:8" x14ac:dyDescent="0.3">
      <c r="A6" s="3">
        <v>405</v>
      </c>
      <c r="B6" s="3" t="s">
        <v>262</v>
      </c>
      <c r="C6" s="3" t="s">
        <v>263</v>
      </c>
      <c r="D6" s="3" t="s">
        <v>264</v>
      </c>
      <c r="E6" s="3">
        <v>4</v>
      </c>
      <c r="F6" s="3" t="s">
        <v>265</v>
      </c>
      <c r="G6" s="3" t="s">
        <v>249</v>
      </c>
      <c r="H6" s="3">
        <v>80</v>
      </c>
    </row>
    <row r="7" spans="1:8" x14ac:dyDescent="0.3">
      <c r="A7" s="3">
        <v>406</v>
      </c>
      <c r="B7" s="3" t="s">
        <v>266</v>
      </c>
      <c r="C7" s="3" t="s">
        <v>267</v>
      </c>
      <c r="D7" s="3" t="s">
        <v>247</v>
      </c>
      <c r="E7" s="3">
        <v>4</v>
      </c>
      <c r="F7" s="3" t="s">
        <v>268</v>
      </c>
      <c r="G7" s="3" t="s">
        <v>269</v>
      </c>
      <c r="H7" s="3">
        <v>60</v>
      </c>
    </row>
    <row r="8" spans="1:8" x14ac:dyDescent="0.3">
      <c r="A8" s="3">
        <v>407</v>
      </c>
      <c r="B8" s="3" t="s">
        <v>270</v>
      </c>
      <c r="C8" s="3" t="s">
        <v>271</v>
      </c>
      <c r="D8" s="3" t="s">
        <v>272</v>
      </c>
      <c r="E8" s="3">
        <v>3</v>
      </c>
      <c r="F8" s="3" t="s">
        <v>273</v>
      </c>
      <c r="G8" s="3" t="s">
        <v>253</v>
      </c>
      <c r="H8" s="3">
        <v>50</v>
      </c>
    </row>
    <row r="9" spans="1:8" x14ac:dyDescent="0.3">
      <c r="A9" s="3">
        <v>408</v>
      </c>
      <c r="B9" s="3" t="s">
        <v>274</v>
      </c>
      <c r="C9" s="3" t="s">
        <v>275</v>
      </c>
      <c r="D9" s="3" t="s">
        <v>276</v>
      </c>
      <c r="E9" s="3">
        <v>4</v>
      </c>
      <c r="F9" s="3" t="s">
        <v>277</v>
      </c>
      <c r="G9" s="3" t="s">
        <v>249</v>
      </c>
      <c r="H9" s="3">
        <v>100</v>
      </c>
    </row>
    <row r="10" spans="1:8" x14ac:dyDescent="0.3">
      <c r="A10" s="3">
        <v>409</v>
      </c>
      <c r="B10" s="3" t="s">
        <v>278</v>
      </c>
      <c r="C10" s="3" t="s">
        <v>279</v>
      </c>
      <c r="D10" s="3" t="s">
        <v>280</v>
      </c>
      <c r="E10" s="3">
        <v>3</v>
      </c>
      <c r="F10" s="3" t="s">
        <v>281</v>
      </c>
      <c r="G10" s="3" t="s">
        <v>249</v>
      </c>
      <c r="H10" s="3">
        <v>80</v>
      </c>
    </row>
    <row r="11" spans="1:8" x14ac:dyDescent="0.3">
      <c r="A11" s="3">
        <v>410</v>
      </c>
      <c r="B11" s="3" t="s">
        <v>282</v>
      </c>
      <c r="C11" s="3" t="s">
        <v>283</v>
      </c>
      <c r="D11" s="3" t="s">
        <v>247</v>
      </c>
      <c r="E11" s="3">
        <v>4</v>
      </c>
      <c r="F11" s="3" t="s">
        <v>284</v>
      </c>
      <c r="G11" s="3" t="s">
        <v>285</v>
      </c>
      <c r="H11" s="3">
        <v>60</v>
      </c>
    </row>
    <row r="13" spans="1:8" ht="19.8" x14ac:dyDescent="0.4">
      <c r="A13" s="19" t="s">
        <v>308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showGridLines="0" tabSelected="1" topLeftCell="A16" zoomScale="110" zoomScaleNormal="110" workbookViewId="0">
      <selection activeCell="E27" sqref="E27"/>
    </sheetView>
  </sheetViews>
  <sheetFormatPr defaultRowHeight="14.4" x14ac:dyDescent="0.3"/>
  <cols>
    <col min="1" max="2" width="18" style="3" customWidth="1"/>
    <col min="3" max="3" width="16.109375" style="3" bestFit="1" customWidth="1"/>
    <col min="4" max="4" width="19.6640625" style="3" bestFit="1" customWidth="1"/>
    <col min="5" max="5" width="19.5546875" style="3" bestFit="1" customWidth="1"/>
    <col min="6" max="8" width="18" style="3" customWidth="1"/>
    <col min="9" max="16384" width="8.88671875" style="1"/>
  </cols>
  <sheetData>
    <row r="1" spans="1:8" x14ac:dyDescent="0.3">
      <c r="A1" s="3" t="s">
        <v>286</v>
      </c>
      <c r="B1" s="3" t="s">
        <v>186</v>
      </c>
      <c r="C1" s="3" t="s">
        <v>238</v>
      </c>
      <c r="D1" s="3" t="s">
        <v>287</v>
      </c>
      <c r="E1" s="3" t="s">
        <v>288</v>
      </c>
      <c r="F1" s="3" t="s">
        <v>289</v>
      </c>
      <c r="G1" s="3" t="s">
        <v>290</v>
      </c>
      <c r="H1" s="3" t="s">
        <v>65</v>
      </c>
    </row>
    <row r="2" spans="1:8" x14ac:dyDescent="0.3">
      <c r="A2" s="3">
        <v>601</v>
      </c>
      <c r="B2" s="3">
        <v>101</v>
      </c>
      <c r="C2" s="3">
        <v>401</v>
      </c>
      <c r="D2" s="3" t="s">
        <v>210</v>
      </c>
      <c r="E2" s="3">
        <v>85</v>
      </c>
      <c r="F2" s="3" t="s">
        <v>291</v>
      </c>
      <c r="G2" s="3">
        <v>95</v>
      </c>
      <c r="H2" s="3" t="s">
        <v>292</v>
      </c>
    </row>
    <row r="3" spans="1:8" x14ac:dyDescent="0.3">
      <c r="A3" s="3">
        <v>602</v>
      </c>
      <c r="B3" s="3">
        <v>101</v>
      </c>
      <c r="C3" s="3">
        <v>402</v>
      </c>
      <c r="D3" s="3" t="s">
        <v>293</v>
      </c>
      <c r="E3" s="3">
        <v>78</v>
      </c>
      <c r="F3" s="3" t="s">
        <v>294</v>
      </c>
      <c r="G3" s="3">
        <v>90</v>
      </c>
      <c r="H3" s="3" t="s">
        <v>292</v>
      </c>
    </row>
    <row r="4" spans="1:8" x14ac:dyDescent="0.3">
      <c r="A4" s="3">
        <v>603</v>
      </c>
      <c r="B4" s="3">
        <v>101</v>
      </c>
      <c r="C4" s="3">
        <v>406</v>
      </c>
      <c r="D4" s="3" t="s">
        <v>295</v>
      </c>
      <c r="E4" s="3">
        <v>88</v>
      </c>
      <c r="F4" s="3" t="s">
        <v>291</v>
      </c>
      <c r="G4" s="3">
        <v>92</v>
      </c>
      <c r="H4" s="3" t="s">
        <v>292</v>
      </c>
    </row>
    <row r="5" spans="1:8" x14ac:dyDescent="0.3">
      <c r="A5" s="3">
        <v>604</v>
      </c>
      <c r="B5" s="3">
        <v>101</v>
      </c>
      <c r="C5" s="3">
        <v>410</v>
      </c>
      <c r="D5" s="3" t="s">
        <v>296</v>
      </c>
      <c r="E5" s="3">
        <v>92</v>
      </c>
      <c r="F5" s="3" t="s">
        <v>291</v>
      </c>
      <c r="G5" s="3">
        <v>96</v>
      </c>
      <c r="H5" s="3" t="s">
        <v>297</v>
      </c>
    </row>
    <row r="6" spans="1:8" x14ac:dyDescent="0.3">
      <c r="A6" s="3">
        <v>605</v>
      </c>
      <c r="B6" s="3">
        <v>102</v>
      </c>
      <c r="C6" s="3">
        <v>403</v>
      </c>
      <c r="D6" s="3" t="s">
        <v>210</v>
      </c>
      <c r="E6" s="3">
        <v>80</v>
      </c>
      <c r="F6" s="3" t="s">
        <v>294</v>
      </c>
      <c r="G6" s="3">
        <v>88</v>
      </c>
      <c r="H6" s="3" t="s">
        <v>292</v>
      </c>
    </row>
    <row r="7" spans="1:8" x14ac:dyDescent="0.3">
      <c r="A7" s="3">
        <v>606</v>
      </c>
      <c r="B7" s="3">
        <v>102</v>
      </c>
      <c r="C7" s="3">
        <v>405</v>
      </c>
      <c r="D7" s="3" t="s">
        <v>210</v>
      </c>
      <c r="E7" s="3">
        <v>75</v>
      </c>
      <c r="F7" s="3" t="s">
        <v>294</v>
      </c>
      <c r="G7" s="3">
        <v>85</v>
      </c>
      <c r="H7" s="3" t="s">
        <v>292</v>
      </c>
    </row>
    <row r="8" spans="1:8" x14ac:dyDescent="0.3">
      <c r="A8" s="3">
        <v>607</v>
      </c>
      <c r="B8" s="3">
        <v>102</v>
      </c>
      <c r="C8" s="3">
        <v>409</v>
      </c>
      <c r="D8" s="3" t="s">
        <v>295</v>
      </c>
      <c r="E8" s="3">
        <v>82</v>
      </c>
      <c r="F8" s="3" t="s">
        <v>291</v>
      </c>
      <c r="G8" s="3">
        <v>90</v>
      </c>
      <c r="H8" s="3" t="s">
        <v>292</v>
      </c>
    </row>
    <row r="9" spans="1:8" x14ac:dyDescent="0.3">
      <c r="A9" s="3">
        <v>608</v>
      </c>
      <c r="B9" s="3">
        <v>103</v>
      </c>
      <c r="C9" s="3">
        <v>401</v>
      </c>
      <c r="D9" s="3" t="s">
        <v>210</v>
      </c>
      <c r="E9" s="3">
        <v>90</v>
      </c>
      <c r="F9" s="3" t="s">
        <v>291</v>
      </c>
      <c r="G9" s="3">
        <v>98</v>
      </c>
      <c r="H9" s="3" t="s">
        <v>292</v>
      </c>
    </row>
    <row r="10" spans="1:8" x14ac:dyDescent="0.3">
      <c r="A10" s="3">
        <v>609</v>
      </c>
      <c r="B10" s="3">
        <v>103</v>
      </c>
      <c r="C10" s="3">
        <v>404</v>
      </c>
      <c r="D10" s="3" t="s">
        <v>210</v>
      </c>
      <c r="E10" s="3">
        <v>87</v>
      </c>
      <c r="F10" s="3" t="s">
        <v>291</v>
      </c>
      <c r="G10" s="3">
        <v>94</v>
      </c>
      <c r="H10" s="3" t="s">
        <v>292</v>
      </c>
    </row>
    <row r="11" spans="1:8" x14ac:dyDescent="0.3">
      <c r="A11" s="3">
        <v>610</v>
      </c>
      <c r="B11" s="3">
        <v>104</v>
      </c>
      <c r="C11" s="3">
        <v>401</v>
      </c>
      <c r="D11" s="3" t="s">
        <v>210</v>
      </c>
      <c r="E11" s="3">
        <v>83</v>
      </c>
      <c r="F11" s="3" t="s">
        <v>294</v>
      </c>
      <c r="G11" s="3">
        <v>91</v>
      </c>
      <c r="H11" s="3" t="s">
        <v>292</v>
      </c>
    </row>
    <row r="12" spans="1:8" x14ac:dyDescent="0.3">
      <c r="A12" s="3">
        <v>611</v>
      </c>
      <c r="B12" s="3">
        <v>104</v>
      </c>
      <c r="C12" s="3">
        <v>402</v>
      </c>
      <c r="D12" s="3" t="s">
        <v>293</v>
      </c>
      <c r="E12" s="3">
        <v>79</v>
      </c>
      <c r="F12" s="3" t="s">
        <v>294</v>
      </c>
      <c r="G12" s="3">
        <v>88</v>
      </c>
      <c r="H12" s="3" t="s">
        <v>292</v>
      </c>
    </row>
    <row r="13" spans="1:8" x14ac:dyDescent="0.3">
      <c r="A13" s="3">
        <v>612</v>
      </c>
      <c r="B13" s="3">
        <v>104</v>
      </c>
      <c r="C13" s="3">
        <v>407</v>
      </c>
      <c r="D13" s="3" t="s">
        <v>295</v>
      </c>
      <c r="E13" s="3">
        <v>81</v>
      </c>
      <c r="F13" s="3" t="s">
        <v>294</v>
      </c>
      <c r="G13" s="3">
        <v>89</v>
      </c>
      <c r="H13" s="3" t="s">
        <v>292</v>
      </c>
    </row>
    <row r="14" spans="1:8" x14ac:dyDescent="0.3">
      <c r="A14" s="3">
        <v>613</v>
      </c>
      <c r="B14" s="3">
        <v>105</v>
      </c>
      <c r="C14" s="3">
        <v>403</v>
      </c>
      <c r="D14" s="3" t="s">
        <v>298</v>
      </c>
      <c r="E14" s="3">
        <v>84</v>
      </c>
      <c r="F14" s="3" t="s">
        <v>294</v>
      </c>
      <c r="G14" s="3">
        <v>92</v>
      </c>
      <c r="H14" s="3" t="s">
        <v>292</v>
      </c>
    </row>
    <row r="15" spans="1:8" x14ac:dyDescent="0.3">
      <c r="A15" s="3">
        <v>614</v>
      </c>
      <c r="B15" s="3">
        <v>105</v>
      </c>
      <c r="C15" s="3">
        <v>405</v>
      </c>
      <c r="D15" s="3" t="s">
        <v>298</v>
      </c>
      <c r="E15" s="3">
        <v>86</v>
      </c>
      <c r="F15" s="3" t="s">
        <v>291</v>
      </c>
      <c r="G15" s="3">
        <v>94</v>
      </c>
      <c r="H15" s="3" t="s">
        <v>292</v>
      </c>
    </row>
    <row r="16" spans="1:8" x14ac:dyDescent="0.3">
      <c r="A16" s="3">
        <v>615</v>
      </c>
      <c r="B16" s="3">
        <v>105</v>
      </c>
      <c r="C16" s="3">
        <v>409</v>
      </c>
      <c r="D16" s="3" t="s">
        <v>299</v>
      </c>
      <c r="E16" s="3">
        <v>88</v>
      </c>
      <c r="F16" s="3" t="s">
        <v>291</v>
      </c>
      <c r="G16" s="3">
        <v>95</v>
      </c>
      <c r="H16" s="3" t="s">
        <v>297</v>
      </c>
    </row>
    <row r="17" spans="1:8" x14ac:dyDescent="0.3">
      <c r="A17" s="3">
        <v>616</v>
      </c>
      <c r="B17" s="3">
        <v>106</v>
      </c>
      <c r="C17" s="3">
        <v>401</v>
      </c>
      <c r="D17" s="3" t="s">
        <v>210</v>
      </c>
      <c r="E17" s="3">
        <v>89</v>
      </c>
      <c r="F17" s="3" t="s">
        <v>291</v>
      </c>
      <c r="G17" s="3">
        <v>96</v>
      </c>
      <c r="H17" s="3" t="s">
        <v>292</v>
      </c>
    </row>
    <row r="18" spans="1:8" x14ac:dyDescent="0.3">
      <c r="A18" s="3">
        <v>617</v>
      </c>
      <c r="B18" s="3">
        <v>106</v>
      </c>
      <c r="C18" s="3">
        <v>407</v>
      </c>
      <c r="D18" s="3" t="s">
        <v>295</v>
      </c>
      <c r="E18" s="3">
        <v>84</v>
      </c>
      <c r="F18" s="3" t="s">
        <v>294</v>
      </c>
      <c r="G18" s="3">
        <v>91</v>
      </c>
      <c r="H18" s="3" t="s">
        <v>292</v>
      </c>
    </row>
    <row r="19" spans="1:8" x14ac:dyDescent="0.3">
      <c r="A19" s="3">
        <v>618</v>
      </c>
      <c r="B19" s="3">
        <v>107</v>
      </c>
      <c r="C19" s="3">
        <v>403</v>
      </c>
      <c r="D19" s="3" t="s">
        <v>210</v>
      </c>
      <c r="E19" s="3">
        <v>81</v>
      </c>
      <c r="F19" s="3" t="s">
        <v>294</v>
      </c>
      <c r="G19" s="3">
        <v>87</v>
      </c>
      <c r="H19" s="3" t="s">
        <v>292</v>
      </c>
    </row>
    <row r="20" spans="1:8" x14ac:dyDescent="0.3">
      <c r="A20" s="3">
        <v>619</v>
      </c>
      <c r="B20" s="3">
        <v>107</v>
      </c>
      <c r="C20" s="3">
        <v>404</v>
      </c>
      <c r="D20" s="3" t="s">
        <v>210</v>
      </c>
      <c r="E20" s="3">
        <v>85</v>
      </c>
      <c r="F20" s="3" t="s">
        <v>294</v>
      </c>
      <c r="G20" s="3">
        <v>92</v>
      </c>
      <c r="H20" s="3" t="s">
        <v>292</v>
      </c>
    </row>
    <row r="21" spans="1:8" x14ac:dyDescent="0.3">
      <c r="A21" s="3">
        <v>620</v>
      </c>
      <c r="B21" s="3">
        <v>107</v>
      </c>
      <c r="C21" s="3">
        <v>410</v>
      </c>
      <c r="D21" s="3" t="s">
        <v>299</v>
      </c>
      <c r="E21" s="3">
        <v>79</v>
      </c>
      <c r="F21" s="3" t="s">
        <v>294</v>
      </c>
      <c r="G21" s="3">
        <v>85</v>
      </c>
      <c r="H21" s="3" t="s">
        <v>297</v>
      </c>
    </row>
    <row r="23" spans="1:8" ht="19.8" x14ac:dyDescent="0.4">
      <c r="A23" s="19" t="s">
        <v>308</v>
      </c>
      <c r="B23" s="19" t="s">
        <v>309</v>
      </c>
      <c r="C23" s="19" t="s">
        <v>309</v>
      </c>
    </row>
    <row r="26" spans="1:8" ht="18" x14ac:dyDescent="0.35">
      <c r="A26" s="20" t="s">
        <v>302</v>
      </c>
      <c r="B26" s="23" t="s">
        <v>314</v>
      </c>
      <c r="C26" s="23" t="s">
        <v>316</v>
      </c>
      <c r="D26" s="23" t="s">
        <v>315</v>
      </c>
      <c r="E26" s="23" t="s">
        <v>290</v>
      </c>
    </row>
    <row r="27" spans="1:8" ht="18" x14ac:dyDescent="0.35">
      <c r="A27" s="21"/>
      <c r="B27" s="27">
        <v>105</v>
      </c>
      <c r="C27" s="24" cm="1">
        <f t="array" ref="C27:C29">_xlfn._xlws.FILTER(MToM_Enrollment[CourseID],MToM_Enrollment[StudentID]=B27)</f>
        <v>403</v>
      </c>
      <c r="D27" s="24" cm="1">
        <f t="array" ref="D27:D29">_xlfn._xlws.FILTER(MToM_Enrollment[Marks_Obtained],MToM_Enrollment[StudentID]=B27)</f>
        <v>84</v>
      </c>
      <c r="E27" s="24" cm="1">
        <f t="array" ref="E27:E29">_xlfn._xlws.FILTER(MToM_Enrollment[Attendance],MToM_Enrollment[StudentID]=B27)</f>
        <v>92</v>
      </c>
      <c r="H27" s="1"/>
    </row>
    <row r="28" spans="1:8" ht="18" x14ac:dyDescent="0.35">
      <c r="A28" s="21"/>
      <c r="B28" s="24"/>
      <c r="C28" s="24">
        <v>405</v>
      </c>
      <c r="D28" s="24">
        <v>86</v>
      </c>
      <c r="E28" s="24">
        <v>94</v>
      </c>
    </row>
    <row r="29" spans="1:8" ht="18" x14ac:dyDescent="0.35">
      <c r="A29" s="22"/>
      <c r="B29" s="25"/>
      <c r="C29" s="25">
        <v>409</v>
      </c>
      <c r="D29" s="25">
        <v>88</v>
      </c>
      <c r="E29" s="25">
        <v>95</v>
      </c>
    </row>
    <row r="30" spans="1:8" ht="18" x14ac:dyDescent="0.35">
      <c r="A30" s="22"/>
      <c r="B30" s="26"/>
      <c r="C30" s="25"/>
      <c r="D30" s="25"/>
      <c r="E30" s="25"/>
    </row>
  </sheetData>
  <dataValidations count="1">
    <dataValidation type="list" allowBlank="1" showInputMessage="1" showErrorMessage="1" sqref="B27" xr:uid="{D6CBF85C-4535-45A1-82D1-14120A279336}">
      <formula1>$B$2:$B$21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1ToM_Customers</vt:lpstr>
      <vt:lpstr>1ToM_Orders</vt:lpstr>
      <vt:lpstr>MToO_Products</vt:lpstr>
      <vt:lpstr>MToO_Inventory</vt:lpstr>
      <vt:lpstr>1To1_Employees</vt:lpstr>
      <vt:lpstr>1To1_Payroll</vt:lpstr>
      <vt:lpstr>MToM_Students</vt:lpstr>
      <vt:lpstr>MToM_Courses</vt:lpstr>
      <vt:lpstr>MToM_Enrollment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2025-12-06T07:10:35Z</dcterms:created>
  <dcterms:modified xsi:type="dcterms:W3CDTF">2025-12-11T12:52:49Z</dcterms:modified>
</cp:coreProperties>
</file>