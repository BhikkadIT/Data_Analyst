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Data Modelling\Star Schema Relationship\"/>
    </mc:Choice>
  </mc:AlternateContent>
  <xr:revisionPtr revIDLastSave="0" documentId="13_ncr:1_{167962C4-32DD-4906-BF29-42E5223F23E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Data" sheetId="1" r:id="rId1"/>
    <sheet name="StoreDim" sheetId="2" r:id="rId2"/>
    <sheet name="ProductDim" sheetId="3" r:id="rId3"/>
    <sheet name="CustomerDim" sheetId="4" r:id="rId4"/>
    <sheet name="DateDi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 a="1"/>
  <c r="J18" i="1" s="1"/>
  <c r="K18" i="1" s="1"/>
  <c r="K14" i="1"/>
  <c r="J14" i="1"/>
  <c r="J10" i="1"/>
  <c r="K10" i="1"/>
  <c r="K19" i="1" l="1"/>
  <c r="K20" i="1"/>
  <c r="K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<sst xmlns="http://schemas.openxmlformats.org/spreadsheetml/2006/main" count="869" uniqueCount="98">
  <si>
    <t>SalesID</t>
  </si>
  <si>
    <t>StoreID</t>
  </si>
  <si>
    <t>ProductID</t>
  </si>
  <si>
    <t>CustomerID</t>
  </si>
  <si>
    <t>DateID</t>
  </si>
  <si>
    <t>Quantity</t>
  </si>
  <si>
    <t>Amount</t>
  </si>
  <si>
    <t>StoreName</t>
  </si>
  <si>
    <t>City</t>
  </si>
  <si>
    <t>Manager</t>
  </si>
  <si>
    <t>Mumbai Store</t>
  </si>
  <si>
    <t>Mumbai</t>
  </si>
  <si>
    <t>Rajesh Kumar</t>
  </si>
  <si>
    <t>Delhi Store</t>
  </si>
  <si>
    <t>Delhi</t>
  </si>
  <si>
    <t>Priya Singh</t>
  </si>
  <si>
    <t>Bangalore Store</t>
  </si>
  <si>
    <t>Bangalore</t>
  </si>
  <si>
    <t>Amit Patel</t>
  </si>
  <si>
    <t>Chennai Store</t>
  </si>
  <si>
    <t>Chennai</t>
  </si>
  <si>
    <t>Neha Gupta</t>
  </si>
  <si>
    <t>Hyderabad Store</t>
  </si>
  <si>
    <t>Hyderabad</t>
  </si>
  <si>
    <t>Vikram Sharma</t>
  </si>
  <si>
    <t>ProductName</t>
  </si>
  <si>
    <t>Category</t>
  </si>
  <si>
    <t>Price</t>
  </si>
  <si>
    <t>Samsung TV</t>
  </si>
  <si>
    <t>Electronics</t>
  </si>
  <si>
    <t>Laptop</t>
  </si>
  <si>
    <t>T-Shirt</t>
  </si>
  <si>
    <t>Clothing</t>
  </si>
  <si>
    <t>Jeans</t>
  </si>
  <si>
    <t>Microwave</t>
  </si>
  <si>
    <t>Home Appliances</t>
  </si>
  <si>
    <t>Fan</t>
  </si>
  <si>
    <t>Shoes</t>
  </si>
  <si>
    <t>Bedsheet</t>
  </si>
  <si>
    <t>Home Textiles</t>
  </si>
  <si>
    <t>Name</t>
  </si>
  <si>
    <t>Segment</t>
  </si>
  <si>
    <t>Rajesh K</t>
  </si>
  <si>
    <t>Premium</t>
  </si>
  <si>
    <t>Priya S</t>
  </si>
  <si>
    <t>Regular</t>
  </si>
  <si>
    <t>Amit P</t>
  </si>
  <si>
    <t>Neha G</t>
  </si>
  <si>
    <t>Vikram S</t>
  </si>
  <si>
    <t>Budget</t>
  </si>
  <si>
    <t>Sakshi K</t>
  </si>
  <si>
    <t>Rohan M</t>
  </si>
  <si>
    <t>Pune</t>
  </si>
  <si>
    <t>Anjali R</t>
  </si>
  <si>
    <t>Kolkata</t>
  </si>
  <si>
    <t>Date</t>
  </si>
  <si>
    <t>Month</t>
  </si>
  <si>
    <t>MonthNum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</si>
  <si>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</si>
  <si>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</si>
  <si>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</si>
  <si>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</si>
  <si>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</si>
  <si>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</si>
  <si>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</si>
  <si>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</si>
  <si>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</si>
  <si>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</si>
  <si>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</si>
  <si>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</si>
  <si>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</si>
  <si>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</si>
  <si>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</si>
  <si>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</si>
  <si>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</si>
  <si>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</si>
  <si>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Primary Key</t>
  </si>
  <si>
    <t>Foreign Key</t>
  </si>
  <si>
    <t>Column Name</t>
  </si>
  <si>
    <t>Column Type</t>
  </si>
  <si>
    <t>Store Name</t>
  </si>
  <si>
    <t>Question 1 : Sales by Store</t>
  </si>
  <si>
    <t>Total Sales</t>
  </si>
  <si>
    <t>Question 2 : Sales by Category and Product</t>
  </si>
  <si>
    <t>Fact Table</t>
  </si>
  <si>
    <t>FK</t>
  </si>
  <si>
    <t>PK</t>
  </si>
  <si>
    <t>Dimension Table</t>
  </si>
  <si>
    <t>Sales Data Table</t>
  </si>
  <si>
    <t>Store Table</t>
  </si>
  <si>
    <t>Product Table</t>
  </si>
  <si>
    <t>Customer Table</t>
  </si>
  <si>
    <t>Date Table</t>
  </si>
  <si>
    <t>Table Name</t>
  </si>
  <si>
    <t>Table Type</t>
  </si>
  <si>
    <t>Key Constraint</t>
  </si>
  <si>
    <t>Question 3 : Sales by 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</si>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</sst>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14" fontId="5" fillId="0" borderId="5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4" fontId="7" fillId="4" borderId="1" xfId="1" applyNumberFormat="1" applyFont="1" applyFill="1" applyBorder="1" applyAlignment="1"/>
    <xf numFmtId="164" fontId="7" fillId="4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2DA30-7111-4EDF-89F7-CB28A220E372}" name="Table1" displayName="Table1" ref="A1:G101" totalsRowShown="0" headerRowDxfId="49" dataDxfId="47" headerRowBorderDxfId="48" tableBorderDxfId="46" totalsRowBorderDxfId="45">
  <autoFilter ref="A1:G101" xr:uid="{9542DA30-7111-4EDF-89F7-CB28A220E372}"/>
  <tableColumns count="7">
    <tableColumn id="1" xr3:uid="{D005A1C3-9CBB-49AD-943D-8751F48A05B7}" name="SalesID" dataDxfId="44"/>
    <tableColumn id="2" xr3:uid="{A6047DEF-346F-469C-B18E-EA759579FEA2}" name="StoreID" dataDxfId="43"/>
    <tableColumn id="3" xr3:uid="{11B9BCA7-0783-419F-9639-D2E76F2C0C58}" name="ProductID" dataDxfId="42"/>
    <tableColumn id="4" xr3:uid="{D7664316-553C-4599-9D99-69B2B8ABA203}" name="CustomerID" dataDxfId="5"/>
    <tableColumn id="5" xr3:uid="{01BD4779-BD69-4605-A270-B02E50EE4575}" name="DateID" dataDxfId="3"/>
    <tableColumn id="6" xr3:uid="{2162A07A-4D02-49D6-9188-D4197A7CEA33}" name="Quantity" dataDxfId="4"/>
    <tableColumn id="7" xr3:uid="{DE34C76D-E2FA-48AF-BC7D-CFA3E67A02BB}" name="Amount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61815-9BC6-4F1B-B75A-F20E186CB959}" name="Table2" displayName="Table2" ref="A1:D6" totalsRowShown="0" headerRowDxfId="40" headerRowBorderDxfId="39" tableBorderDxfId="38" totalsRowBorderDxfId="37">
  <autoFilter ref="A1:D6" xr:uid="{FEF61815-9BC6-4F1B-B75A-F20E186CB959}"/>
  <tableColumns count="4">
    <tableColumn id="1" xr3:uid="{F3BD606E-9747-4565-97BD-6693156A78F1}" name="StoreID" dataDxfId="36"/>
    <tableColumn id="2" xr3:uid="{06BB7D13-7160-4BFF-9E51-A3550E0828FE}" name="StoreName" dataDxfId="35"/>
    <tableColumn id="3" xr3:uid="{1232376B-183A-4352-B4E7-E1DB2321C7DD}" name="City" dataDxfId="34"/>
    <tableColumn id="4" xr3:uid="{C928555A-73ED-4AF3-B401-4093146A5197}" name="Manager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9BE41C-E632-488D-BAE0-20A526AF5A35}" name="Table3" displayName="Table3" ref="A1:D9" totalsRowShown="0" headerRowDxfId="32" headerRowBorderDxfId="31" tableBorderDxfId="30" totalsRowBorderDxfId="29">
  <autoFilter ref="A1:D9" xr:uid="{F59BE41C-E632-488D-BAE0-20A526AF5A35}"/>
  <tableColumns count="4">
    <tableColumn id="1" xr3:uid="{B61F20D9-9A0D-457D-B0DF-14454121D6AD}" name="ProductID" dataDxfId="28"/>
    <tableColumn id="2" xr3:uid="{B15DA7C2-9FEC-42D2-8EA2-3A6D367A8D3D}" name="ProductName" dataDxfId="27"/>
    <tableColumn id="3" xr3:uid="{E6AE6A8E-0458-4113-9FEC-395B649CC9FD}" name="Category" dataDxfId="26"/>
    <tableColumn id="4" xr3:uid="{325E43B1-5C3A-42CC-8316-7CF44E66574F}" name="Price" dataDxfId="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131301-5954-42A6-A2BB-904E078277F5}" name="Table4" displayName="Table4" ref="A1:D9" totalsRowShown="0" headerRowDxfId="24" headerRowBorderDxfId="23" tableBorderDxfId="22" totalsRowBorderDxfId="21">
  <autoFilter ref="A1:D9" xr:uid="{51131301-5954-42A6-A2BB-904E078277F5}"/>
  <tableColumns count="4">
    <tableColumn id="1" xr3:uid="{EB1C2FA9-C0E2-475F-837F-331EE4DC02A1}" name="CustomerID" dataDxfId="20"/>
    <tableColumn id="2" xr3:uid="{B1FE7C7A-7F33-46DA-A8A1-98ED868B1806}" name="Name" dataDxfId="19"/>
    <tableColumn id="3" xr3:uid="{709D9263-F88B-46B3-B338-8BE3CFC5F753}" name="City" dataDxfId="18"/>
    <tableColumn id="4" xr3:uid="{D198C656-E4C9-4E06-916A-AF18362AA7C6}" name="Segment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9DC3C2-D157-4F2F-82B7-DA3C7E791C1C}" name="Table5" displayName="Table5" ref="A1:F366" totalsRowShown="0" headerRowDxfId="16" dataDxfId="14" headerRowBorderDxfId="15" tableBorderDxfId="13" totalsRowBorderDxfId="12">
  <autoFilter ref="A1:F366" xr:uid="{AC9DC3C2-D157-4F2F-82B7-DA3C7E791C1C}"/>
  <tableColumns count="6">
    <tableColumn id="1" xr3:uid="{E22ACEDB-8212-42CD-AFC7-66A24D1B8963}" name="DateID" dataDxfId="11"/>
    <tableColumn id="2" xr3:uid="{DF1B290B-F517-4E61-94DF-092E8CB69999}" name="Date" dataDxfId="10"/>
    <tableColumn id="3" xr3:uid="{AFF4380E-22F1-499A-A4E9-127D0F4B2575}" name="Month" dataDxfId="9"/>
    <tableColumn id="4" xr3:uid="{12C39370-8B82-4A09-B23A-62135C98E9A2}" name="MonthNum" dataDxfId="8"/>
    <tableColumn id="5" xr3:uid="{DA91BE60-CE83-4B52-B159-F2DBCDD8EE80}" name="Quarter" dataDxfId="7"/>
    <tableColumn id="6" xr3:uid="{22494CF7-BB7D-4E56-AE02-959FC7C45E9C}" name="Year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zoomScale="130" zoomScaleNormal="130" workbookViewId="0">
      <selection activeCell="C6" sqref="C6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3.88671875" bestFit="1" customWidth="1"/>
    <col min="4" max="4" width="15.33203125" bestFit="1" customWidth="1"/>
    <col min="5" max="5" width="11.109375" bestFit="1" customWidth="1"/>
    <col min="6" max="6" width="12.77734375" bestFit="1" customWidth="1"/>
    <col min="7" max="7" width="12.33203125" bestFit="1" customWidth="1"/>
    <col min="9" max="9" width="43.21875" style="2" bestFit="1" customWidth="1"/>
    <col min="10" max="10" width="17.5546875" style="2" customWidth="1"/>
    <col min="11" max="11" width="20.5546875" style="2" bestFit="1" customWidth="1"/>
    <col min="12" max="12" width="11.88671875" bestFit="1" customWidth="1"/>
  </cols>
  <sheetData>
    <row r="1" spans="1:11" ht="15.6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I1" s="14" t="s">
        <v>78</v>
      </c>
      <c r="J1" s="15" t="s">
        <v>79</v>
      </c>
    </row>
    <row r="2" spans="1:11" ht="15.6" x14ac:dyDescent="0.3">
      <c r="A2" s="6">
        <v>1</v>
      </c>
      <c r="B2" s="1">
        <v>101</v>
      </c>
      <c r="C2" s="1">
        <v>1004</v>
      </c>
      <c r="D2" s="1">
        <v>5007</v>
      </c>
      <c r="E2" s="1">
        <v>259</v>
      </c>
      <c r="F2" s="1">
        <v>5</v>
      </c>
      <c r="G2" s="7">
        <v>7500</v>
      </c>
      <c r="I2" s="16" t="s">
        <v>1</v>
      </c>
      <c r="J2" s="16" t="s">
        <v>77</v>
      </c>
    </row>
    <row r="3" spans="1:11" ht="15.6" x14ac:dyDescent="0.3">
      <c r="A3" s="6">
        <v>2</v>
      </c>
      <c r="B3" s="1">
        <v>101</v>
      </c>
      <c r="C3" s="1">
        <v>1005</v>
      </c>
      <c r="D3" s="1">
        <v>5006</v>
      </c>
      <c r="E3" s="1">
        <v>251</v>
      </c>
      <c r="F3" s="1">
        <v>5</v>
      </c>
      <c r="G3" s="7">
        <v>40000</v>
      </c>
      <c r="I3" s="16" t="s">
        <v>2</v>
      </c>
      <c r="J3" s="16" t="s">
        <v>77</v>
      </c>
    </row>
    <row r="4" spans="1:11" ht="15.6" x14ac:dyDescent="0.3">
      <c r="A4" s="6">
        <v>3</v>
      </c>
      <c r="B4" s="1">
        <v>103</v>
      </c>
      <c r="C4" s="1">
        <v>1007</v>
      </c>
      <c r="D4" s="1">
        <v>5002</v>
      </c>
      <c r="E4" s="1">
        <v>129</v>
      </c>
      <c r="F4" s="1">
        <v>1</v>
      </c>
      <c r="G4" s="7">
        <v>2000</v>
      </c>
      <c r="I4" s="16" t="s">
        <v>3</v>
      </c>
      <c r="J4" s="16" t="s">
        <v>77</v>
      </c>
    </row>
    <row r="5" spans="1:11" ht="16.2" thickBot="1" x14ac:dyDescent="0.35">
      <c r="A5" s="6">
        <v>4</v>
      </c>
      <c r="B5" s="1">
        <v>102</v>
      </c>
      <c r="C5" s="1">
        <v>1007</v>
      </c>
      <c r="D5" s="1">
        <v>5004</v>
      </c>
      <c r="E5" s="1">
        <v>27</v>
      </c>
      <c r="F5" s="1">
        <v>4</v>
      </c>
      <c r="G5" s="7">
        <v>8000</v>
      </c>
      <c r="I5" s="16" t="s">
        <v>4</v>
      </c>
      <c r="J5" s="13" t="s">
        <v>77</v>
      </c>
    </row>
    <row r="6" spans="1:11" ht="16.2" thickTop="1" x14ac:dyDescent="0.3">
      <c r="A6" s="6">
        <v>5</v>
      </c>
      <c r="B6" s="1">
        <v>102</v>
      </c>
      <c r="C6" s="1">
        <v>1006</v>
      </c>
      <c r="D6" s="1">
        <v>5004</v>
      </c>
      <c r="E6" s="1">
        <v>48</v>
      </c>
      <c r="F6" s="1">
        <v>5</v>
      </c>
      <c r="G6" s="7">
        <v>15000</v>
      </c>
      <c r="I6" s="24" t="s">
        <v>0</v>
      </c>
      <c r="J6" s="25" t="s">
        <v>76</v>
      </c>
    </row>
    <row r="7" spans="1:11" x14ac:dyDescent="0.3">
      <c r="A7" s="6">
        <v>6</v>
      </c>
      <c r="B7" s="1">
        <v>102</v>
      </c>
      <c r="C7" s="1">
        <v>1004</v>
      </c>
      <c r="D7" s="1">
        <v>5004</v>
      </c>
      <c r="E7" s="1">
        <v>325</v>
      </c>
      <c r="F7" s="1">
        <v>2</v>
      </c>
      <c r="G7" s="7">
        <v>3000</v>
      </c>
    </row>
    <row r="8" spans="1:11" ht="15.6" x14ac:dyDescent="0.3">
      <c r="A8" s="6">
        <v>7</v>
      </c>
      <c r="B8" s="1">
        <v>101</v>
      </c>
      <c r="C8" s="1">
        <v>1003</v>
      </c>
      <c r="D8" s="1">
        <v>5008</v>
      </c>
      <c r="E8" s="1">
        <v>217</v>
      </c>
      <c r="F8" s="1">
        <v>3</v>
      </c>
      <c r="G8" s="7">
        <v>1500</v>
      </c>
      <c r="I8" s="22" t="s">
        <v>81</v>
      </c>
      <c r="J8" s="26"/>
      <c r="K8" s="26"/>
    </row>
    <row r="9" spans="1:11" ht="15.6" x14ac:dyDescent="0.3">
      <c r="A9" s="6">
        <v>8</v>
      </c>
      <c r="B9" s="1">
        <v>105</v>
      </c>
      <c r="C9" s="1">
        <v>1008</v>
      </c>
      <c r="D9" s="1">
        <v>5003</v>
      </c>
      <c r="E9" s="1">
        <v>142</v>
      </c>
      <c r="F9" s="1">
        <v>1</v>
      </c>
      <c r="G9" s="7">
        <v>1000</v>
      </c>
      <c r="I9" s="12" t="s">
        <v>1</v>
      </c>
      <c r="J9" s="12" t="s">
        <v>80</v>
      </c>
      <c r="K9" s="12" t="s">
        <v>82</v>
      </c>
    </row>
    <row r="10" spans="1:11" ht="15.6" x14ac:dyDescent="0.3">
      <c r="A10" s="6">
        <v>9</v>
      </c>
      <c r="B10" s="1">
        <v>101</v>
      </c>
      <c r="C10" s="1">
        <v>1002</v>
      </c>
      <c r="D10" s="1">
        <v>5007</v>
      </c>
      <c r="E10" s="1">
        <v>23</v>
      </c>
      <c r="F10" s="1">
        <v>4</v>
      </c>
      <c r="G10" s="7">
        <v>300000</v>
      </c>
      <c r="I10" s="27">
        <v>105</v>
      </c>
      <c r="J10" s="29" t="str">
        <f>VLOOKUP(I10,Table2[[StoreID]:[StoreName]],2,0)</f>
        <v>Hyderabad Store</v>
      </c>
      <c r="K10" s="30">
        <f>SUMIF(Table1[StoreID],I10,Table1[Amount])</f>
        <v>996500</v>
      </c>
    </row>
    <row r="11" spans="1:11" ht="15.6" x14ac:dyDescent="0.3">
      <c r="A11" s="6">
        <v>10</v>
      </c>
      <c r="B11" s="1">
        <v>105</v>
      </c>
      <c r="C11" s="1">
        <v>1001</v>
      </c>
      <c r="D11" s="1">
        <v>5003</v>
      </c>
      <c r="E11" s="1">
        <v>2</v>
      </c>
      <c r="F11" s="1">
        <v>1</v>
      </c>
      <c r="G11" s="7">
        <v>45000</v>
      </c>
      <c r="I11" s="26"/>
      <c r="J11" s="26"/>
      <c r="K11" s="26"/>
    </row>
    <row r="12" spans="1:11" ht="15.6" x14ac:dyDescent="0.3">
      <c r="A12" s="6">
        <v>11</v>
      </c>
      <c r="B12" s="1">
        <v>104</v>
      </c>
      <c r="C12" s="1">
        <v>1002</v>
      </c>
      <c r="D12" s="1">
        <v>5005</v>
      </c>
      <c r="E12" s="1">
        <v>171</v>
      </c>
      <c r="F12" s="1">
        <v>5</v>
      </c>
      <c r="G12" s="7">
        <v>375000</v>
      </c>
      <c r="I12" s="22" t="s">
        <v>83</v>
      </c>
      <c r="J12" s="26"/>
      <c r="K12" s="26"/>
    </row>
    <row r="13" spans="1:11" ht="15.6" x14ac:dyDescent="0.3">
      <c r="A13" s="6">
        <v>12</v>
      </c>
      <c r="B13" s="1">
        <v>101</v>
      </c>
      <c r="C13" s="1">
        <v>1003</v>
      </c>
      <c r="D13" s="1">
        <v>5008</v>
      </c>
      <c r="E13" s="1">
        <v>67</v>
      </c>
      <c r="F13" s="1">
        <v>5</v>
      </c>
      <c r="G13" s="7">
        <v>2500</v>
      </c>
      <c r="I13" s="12" t="s">
        <v>2</v>
      </c>
      <c r="J13" s="12" t="s">
        <v>26</v>
      </c>
      <c r="K13" s="12" t="s">
        <v>82</v>
      </c>
    </row>
    <row r="14" spans="1:11" ht="15.6" x14ac:dyDescent="0.3">
      <c r="A14" s="6">
        <v>13</v>
      </c>
      <c r="B14" s="1">
        <v>101</v>
      </c>
      <c r="C14" s="1">
        <v>1003</v>
      </c>
      <c r="D14" s="1">
        <v>5004</v>
      </c>
      <c r="E14" s="1">
        <v>327</v>
      </c>
      <c r="F14" s="1">
        <v>2</v>
      </c>
      <c r="G14" s="7">
        <v>1000</v>
      </c>
      <c r="I14" s="27">
        <v>1008</v>
      </c>
      <c r="J14" s="29" t="str">
        <f>VLOOKUP(I14,ProductDim!A:C,3,0)</f>
        <v>Home Textiles</v>
      </c>
      <c r="K14" s="31">
        <f>SUMIF(Table1[ProductID],I14,Table1[Amount])</f>
        <v>35000</v>
      </c>
    </row>
    <row r="15" spans="1:11" x14ac:dyDescent="0.3">
      <c r="A15" s="6">
        <v>14</v>
      </c>
      <c r="B15" s="1">
        <v>101</v>
      </c>
      <c r="C15" s="1">
        <v>1007</v>
      </c>
      <c r="D15" s="1">
        <v>5002</v>
      </c>
      <c r="E15" s="1">
        <v>135</v>
      </c>
      <c r="F15" s="1">
        <v>3</v>
      </c>
      <c r="G15" s="7">
        <v>6000</v>
      </c>
    </row>
    <row r="16" spans="1:11" ht="15.6" x14ac:dyDescent="0.3">
      <c r="A16" s="6">
        <v>15</v>
      </c>
      <c r="B16" s="1">
        <v>102</v>
      </c>
      <c r="C16" s="1">
        <v>1002</v>
      </c>
      <c r="D16" s="1">
        <v>5008</v>
      </c>
      <c r="E16" s="1">
        <v>83</v>
      </c>
      <c r="F16" s="1">
        <v>4</v>
      </c>
      <c r="G16" s="7">
        <v>300000</v>
      </c>
      <c r="I16" s="34" t="s">
        <v>96</v>
      </c>
      <c r="K16" s="31">
        <f>SUM(K18:K20)</f>
        <v>35000</v>
      </c>
    </row>
    <row r="17" spans="1:11" ht="15.6" x14ac:dyDescent="0.3">
      <c r="A17" s="6">
        <v>16</v>
      </c>
      <c r="B17" s="1">
        <v>102</v>
      </c>
      <c r="C17" s="1">
        <v>1007</v>
      </c>
      <c r="D17" s="1">
        <v>5002</v>
      </c>
      <c r="E17" s="1">
        <v>227</v>
      </c>
      <c r="F17" s="1">
        <v>1</v>
      </c>
      <c r="G17" s="7">
        <v>2000</v>
      </c>
      <c r="I17" s="12" t="s">
        <v>26</v>
      </c>
      <c r="J17" s="12" t="s">
        <v>97</v>
      </c>
      <c r="K17" s="12" t="s">
        <v>82</v>
      </c>
    </row>
    <row r="18" spans="1:11" ht="15.6" x14ac:dyDescent="0.3">
      <c r="A18" s="6">
        <v>17</v>
      </c>
      <c r="B18" s="1">
        <v>105</v>
      </c>
      <c r="C18" s="1">
        <v>1007</v>
      </c>
      <c r="D18" s="1">
        <v>5001</v>
      </c>
      <c r="E18" s="1">
        <v>283</v>
      </c>
      <c r="F18" s="1">
        <v>3</v>
      </c>
      <c r="G18" s="7">
        <v>6000</v>
      </c>
      <c r="I18" s="33" t="s">
        <v>39</v>
      </c>
      <c r="J18" s="32" cm="1">
        <f t="array" ref="J18">_xlfn._xlws.FILTER(Table3[ProductID],Table3[Category]=SalesData!I18)</f>
        <v>1008</v>
      </c>
      <c r="K18" s="32">
        <f>SUMIF(Table1[ProductID],J18,Table1[Amount])</f>
        <v>35000</v>
      </c>
    </row>
    <row r="19" spans="1:11" x14ac:dyDescent="0.3">
      <c r="A19" s="6">
        <v>18</v>
      </c>
      <c r="B19" s="1">
        <v>105</v>
      </c>
      <c r="C19" s="1">
        <v>1008</v>
      </c>
      <c r="D19" s="1">
        <v>5001</v>
      </c>
      <c r="E19" s="1">
        <v>362</v>
      </c>
      <c r="F19" s="1">
        <v>5</v>
      </c>
      <c r="G19" s="7">
        <v>5000</v>
      </c>
      <c r="I19" s="1"/>
      <c r="J19" s="32"/>
      <c r="K19" s="32">
        <f>SUMIF(Table1[ProductID],J19,Table1[Amount])</f>
        <v>0</v>
      </c>
    </row>
    <row r="20" spans="1:11" x14ac:dyDescent="0.3">
      <c r="A20" s="6">
        <v>19</v>
      </c>
      <c r="B20" s="1">
        <v>101</v>
      </c>
      <c r="C20" s="1">
        <v>1005</v>
      </c>
      <c r="D20" s="1">
        <v>5002</v>
      </c>
      <c r="E20" s="1">
        <v>219</v>
      </c>
      <c r="F20" s="1">
        <v>3</v>
      </c>
      <c r="G20" s="7">
        <v>24000</v>
      </c>
      <c r="I20" s="1"/>
      <c r="J20" s="32"/>
      <c r="K20" s="32">
        <f>SUMIF(Table1[ProductID],J20,Table1[Amount])</f>
        <v>0</v>
      </c>
    </row>
    <row r="21" spans="1:11" x14ac:dyDescent="0.3">
      <c r="A21" s="6">
        <v>20</v>
      </c>
      <c r="B21" s="1">
        <v>105</v>
      </c>
      <c r="C21" s="1">
        <v>1001</v>
      </c>
      <c r="D21" s="1">
        <v>5004</v>
      </c>
      <c r="E21" s="1">
        <v>288</v>
      </c>
      <c r="F21" s="1">
        <v>1</v>
      </c>
      <c r="G21" s="7">
        <v>45000</v>
      </c>
    </row>
    <row r="22" spans="1:11" ht="15.6" x14ac:dyDescent="0.3">
      <c r="A22" s="6">
        <v>21</v>
      </c>
      <c r="B22" s="1">
        <v>102</v>
      </c>
      <c r="C22" s="1">
        <v>1002</v>
      </c>
      <c r="D22" s="1">
        <v>5003</v>
      </c>
      <c r="E22" s="1">
        <v>5</v>
      </c>
      <c r="F22" s="1">
        <v>3</v>
      </c>
      <c r="G22" s="7">
        <v>225000</v>
      </c>
      <c r="I22" s="14" t="s">
        <v>93</v>
      </c>
      <c r="J22" s="14" t="s">
        <v>94</v>
      </c>
      <c r="K22" s="14" t="s">
        <v>95</v>
      </c>
    </row>
    <row r="23" spans="1:11" x14ac:dyDescent="0.3">
      <c r="A23" s="6">
        <v>22</v>
      </c>
      <c r="B23" s="1">
        <v>105</v>
      </c>
      <c r="C23" s="1">
        <v>1005</v>
      </c>
      <c r="D23" s="1">
        <v>5007</v>
      </c>
      <c r="E23" s="1">
        <v>58</v>
      </c>
      <c r="F23" s="1">
        <v>5</v>
      </c>
      <c r="G23" s="7">
        <v>40000</v>
      </c>
      <c r="I23" s="28" t="s">
        <v>88</v>
      </c>
      <c r="J23" s="28" t="s">
        <v>84</v>
      </c>
      <c r="K23" s="28" t="s">
        <v>85</v>
      </c>
    </row>
    <row r="24" spans="1:11" x14ac:dyDescent="0.3">
      <c r="A24" s="6">
        <v>23</v>
      </c>
      <c r="B24" s="1">
        <v>104</v>
      </c>
      <c r="C24" s="1">
        <v>1006</v>
      </c>
      <c r="D24" s="1">
        <v>5008</v>
      </c>
      <c r="E24" s="1">
        <v>39</v>
      </c>
      <c r="F24" s="1">
        <v>3</v>
      </c>
      <c r="G24" s="7">
        <v>9000</v>
      </c>
      <c r="I24" s="28" t="s">
        <v>89</v>
      </c>
      <c r="J24" s="28" t="s">
        <v>87</v>
      </c>
      <c r="K24" s="28" t="s">
        <v>86</v>
      </c>
    </row>
    <row r="25" spans="1:11" x14ac:dyDescent="0.3">
      <c r="A25" s="6">
        <v>24</v>
      </c>
      <c r="B25" s="1">
        <v>102</v>
      </c>
      <c r="C25" s="1">
        <v>1002</v>
      </c>
      <c r="D25" s="1">
        <v>5008</v>
      </c>
      <c r="E25" s="1">
        <v>354</v>
      </c>
      <c r="F25" s="1">
        <v>4</v>
      </c>
      <c r="G25" s="7">
        <v>300000</v>
      </c>
      <c r="I25" s="28" t="s">
        <v>90</v>
      </c>
      <c r="J25" s="28" t="s">
        <v>87</v>
      </c>
      <c r="K25" s="28" t="s">
        <v>86</v>
      </c>
    </row>
    <row r="26" spans="1:11" x14ac:dyDescent="0.3">
      <c r="A26" s="6">
        <v>25</v>
      </c>
      <c r="B26" s="1">
        <v>104</v>
      </c>
      <c r="C26" s="1">
        <v>1005</v>
      </c>
      <c r="D26" s="1">
        <v>5004</v>
      </c>
      <c r="E26" s="1">
        <v>77</v>
      </c>
      <c r="F26" s="1">
        <v>3</v>
      </c>
      <c r="G26" s="7">
        <v>24000</v>
      </c>
      <c r="I26" s="28" t="s">
        <v>91</v>
      </c>
      <c r="J26" s="28" t="s">
        <v>87</v>
      </c>
      <c r="K26" s="28" t="s">
        <v>86</v>
      </c>
    </row>
    <row r="27" spans="1:11" x14ac:dyDescent="0.3">
      <c r="A27" s="6">
        <v>26</v>
      </c>
      <c r="B27" s="1">
        <v>105</v>
      </c>
      <c r="C27" s="1">
        <v>1007</v>
      </c>
      <c r="D27" s="1">
        <v>5007</v>
      </c>
      <c r="E27" s="1">
        <v>280</v>
      </c>
      <c r="F27" s="1">
        <v>4</v>
      </c>
      <c r="G27" s="7">
        <v>8000</v>
      </c>
      <c r="I27" s="28" t="s">
        <v>92</v>
      </c>
      <c r="J27" s="28" t="s">
        <v>87</v>
      </c>
      <c r="K27" s="28" t="s">
        <v>86</v>
      </c>
    </row>
    <row r="28" spans="1:11" x14ac:dyDescent="0.3">
      <c r="A28" s="6">
        <v>27</v>
      </c>
      <c r="B28" s="1">
        <v>103</v>
      </c>
      <c r="C28" s="1">
        <v>1003</v>
      </c>
      <c r="D28" s="1">
        <v>5001</v>
      </c>
      <c r="E28" s="1">
        <v>19</v>
      </c>
      <c r="F28" s="1">
        <v>3</v>
      </c>
      <c r="G28" s="7">
        <v>1500</v>
      </c>
    </row>
    <row r="29" spans="1:11" x14ac:dyDescent="0.3">
      <c r="A29" s="6">
        <v>28</v>
      </c>
      <c r="B29" s="1">
        <v>101</v>
      </c>
      <c r="C29" s="1">
        <v>1008</v>
      </c>
      <c r="D29" s="1">
        <v>5003</v>
      </c>
      <c r="E29" s="1">
        <v>190</v>
      </c>
      <c r="F29" s="1">
        <v>5</v>
      </c>
      <c r="G29" s="7">
        <v>5000</v>
      </c>
    </row>
    <row r="30" spans="1:11" x14ac:dyDescent="0.3">
      <c r="A30" s="6">
        <v>29</v>
      </c>
      <c r="B30" s="1">
        <v>102</v>
      </c>
      <c r="C30" s="1">
        <v>1001</v>
      </c>
      <c r="D30" s="1">
        <v>5007</v>
      </c>
      <c r="E30" s="1">
        <v>299</v>
      </c>
      <c r="F30" s="1">
        <v>2</v>
      </c>
      <c r="G30" s="7">
        <v>90000</v>
      </c>
    </row>
    <row r="31" spans="1:11" x14ac:dyDescent="0.3">
      <c r="A31" s="6">
        <v>30</v>
      </c>
      <c r="B31" s="1">
        <v>104</v>
      </c>
      <c r="C31" s="1">
        <v>1005</v>
      </c>
      <c r="D31" s="1">
        <v>5001</v>
      </c>
      <c r="E31" s="1">
        <v>283</v>
      </c>
      <c r="F31" s="1">
        <v>2</v>
      </c>
      <c r="G31" s="7">
        <v>16000</v>
      </c>
    </row>
    <row r="32" spans="1:11" x14ac:dyDescent="0.3">
      <c r="A32" s="6">
        <v>31</v>
      </c>
      <c r="B32" s="1">
        <v>103</v>
      </c>
      <c r="C32" s="1">
        <v>1003</v>
      </c>
      <c r="D32" s="1">
        <v>5007</v>
      </c>
      <c r="E32" s="1">
        <v>76</v>
      </c>
      <c r="F32" s="1">
        <v>4</v>
      </c>
      <c r="G32" s="7">
        <v>2000</v>
      </c>
    </row>
    <row r="33" spans="1:7" x14ac:dyDescent="0.3">
      <c r="A33" s="6">
        <v>32</v>
      </c>
      <c r="B33" s="1">
        <v>103</v>
      </c>
      <c r="C33" s="1">
        <v>1002</v>
      </c>
      <c r="D33" s="1">
        <v>5005</v>
      </c>
      <c r="E33" s="1">
        <v>221</v>
      </c>
      <c r="F33" s="1">
        <v>4</v>
      </c>
      <c r="G33" s="7">
        <v>300000</v>
      </c>
    </row>
    <row r="34" spans="1:7" x14ac:dyDescent="0.3">
      <c r="A34" s="6">
        <v>33</v>
      </c>
      <c r="B34" s="1">
        <v>102</v>
      </c>
      <c r="C34" s="1">
        <v>1005</v>
      </c>
      <c r="D34" s="1">
        <v>5008</v>
      </c>
      <c r="E34" s="1">
        <v>66</v>
      </c>
      <c r="F34" s="1">
        <v>2</v>
      </c>
      <c r="G34" s="7">
        <v>16000</v>
      </c>
    </row>
    <row r="35" spans="1:7" x14ac:dyDescent="0.3">
      <c r="A35" s="6">
        <v>34</v>
      </c>
      <c r="B35" s="1">
        <v>102</v>
      </c>
      <c r="C35" s="1">
        <v>1004</v>
      </c>
      <c r="D35" s="1">
        <v>5005</v>
      </c>
      <c r="E35" s="1">
        <v>22</v>
      </c>
      <c r="F35" s="1">
        <v>5</v>
      </c>
      <c r="G35" s="7">
        <v>7500</v>
      </c>
    </row>
    <row r="36" spans="1:7" x14ac:dyDescent="0.3">
      <c r="A36" s="6">
        <v>35</v>
      </c>
      <c r="B36" s="1">
        <v>103</v>
      </c>
      <c r="C36" s="1">
        <v>1003</v>
      </c>
      <c r="D36" s="1">
        <v>5007</v>
      </c>
      <c r="E36" s="1">
        <v>158</v>
      </c>
      <c r="F36" s="1">
        <v>5</v>
      </c>
      <c r="G36" s="7">
        <v>2500</v>
      </c>
    </row>
    <row r="37" spans="1:7" x14ac:dyDescent="0.3">
      <c r="A37" s="6">
        <v>36</v>
      </c>
      <c r="B37" s="1">
        <v>101</v>
      </c>
      <c r="C37" s="1">
        <v>1006</v>
      </c>
      <c r="D37" s="1">
        <v>5008</v>
      </c>
      <c r="E37" s="1">
        <v>187</v>
      </c>
      <c r="F37" s="1">
        <v>3</v>
      </c>
      <c r="G37" s="7">
        <v>9000</v>
      </c>
    </row>
    <row r="38" spans="1:7" x14ac:dyDescent="0.3">
      <c r="A38" s="6">
        <v>37</v>
      </c>
      <c r="B38" s="1">
        <v>101</v>
      </c>
      <c r="C38" s="1">
        <v>1003</v>
      </c>
      <c r="D38" s="1">
        <v>5003</v>
      </c>
      <c r="E38" s="1">
        <v>21</v>
      </c>
      <c r="F38" s="1">
        <v>4</v>
      </c>
      <c r="G38" s="7">
        <v>2000</v>
      </c>
    </row>
    <row r="39" spans="1:7" x14ac:dyDescent="0.3">
      <c r="A39" s="6">
        <v>38</v>
      </c>
      <c r="B39" s="1">
        <v>104</v>
      </c>
      <c r="C39" s="1">
        <v>1001</v>
      </c>
      <c r="D39" s="1">
        <v>5004</v>
      </c>
      <c r="E39" s="1">
        <v>184</v>
      </c>
      <c r="F39" s="1">
        <v>5</v>
      </c>
      <c r="G39" s="7">
        <v>225000</v>
      </c>
    </row>
    <row r="40" spans="1:7" x14ac:dyDescent="0.3">
      <c r="A40" s="6">
        <v>39</v>
      </c>
      <c r="B40" s="1">
        <v>101</v>
      </c>
      <c r="C40" s="1">
        <v>1006</v>
      </c>
      <c r="D40" s="1">
        <v>5005</v>
      </c>
      <c r="E40" s="1">
        <v>108</v>
      </c>
      <c r="F40" s="1">
        <v>1</v>
      </c>
      <c r="G40" s="7">
        <v>3000</v>
      </c>
    </row>
    <row r="41" spans="1:7" x14ac:dyDescent="0.3">
      <c r="A41" s="6">
        <v>40</v>
      </c>
      <c r="B41" s="1">
        <v>103</v>
      </c>
      <c r="C41" s="1">
        <v>1008</v>
      </c>
      <c r="D41" s="1">
        <v>5004</v>
      </c>
      <c r="E41" s="1">
        <v>350</v>
      </c>
      <c r="F41" s="1">
        <v>3</v>
      </c>
      <c r="G41" s="7">
        <v>3000</v>
      </c>
    </row>
    <row r="42" spans="1:7" x14ac:dyDescent="0.3">
      <c r="A42" s="6">
        <v>41</v>
      </c>
      <c r="B42" s="1">
        <v>103</v>
      </c>
      <c r="C42" s="1">
        <v>1001</v>
      </c>
      <c r="D42" s="1">
        <v>5001</v>
      </c>
      <c r="E42" s="1">
        <v>128</v>
      </c>
      <c r="F42" s="1">
        <v>3</v>
      </c>
      <c r="G42" s="7">
        <v>135000</v>
      </c>
    </row>
    <row r="43" spans="1:7" x14ac:dyDescent="0.3">
      <c r="A43" s="6">
        <v>42</v>
      </c>
      <c r="B43" s="1">
        <v>105</v>
      </c>
      <c r="C43" s="1">
        <v>1002</v>
      </c>
      <c r="D43" s="1">
        <v>5001</v>
      </c>
      <c r="E43" s="1">
        <v>342</v>
      </c>
      <c r="F43" s="1">
        <v>2</v>
      </c>
      <c r="G43" s="7">
        <v>150000</v>
      </c>
    </row>
    <row r="44" spans="1:7" x14ac:dyDescent="0.3">
      <c r="A44" s="6">
        <v>43</v>
      </c>
      <c r="B44" s="1">
        <v>103</v>
      </c>
      <c r="C44" s="1">
        <v>1006</v>
      </c>
      <c r="D44" s="1">
        <v>5006</v>
      </c>
      <c r="E44" s="1">
        <v>53</v>
      </c>
      <c r="F44" s="1">
        <v>4</v>
      </c>
      <c r="G44" s="7">
        <v>12000</v>
      </c>
    </row>
    <row r="45" spans="1:7" x14ac:dyDescent="0.3">
      <c r="A45" s="6">
        <v>44</v>
      </c>
      <c r="B45" s="1">
        <v>101</v>
      </c>
      <c r="C45" s="1">
        <v>1005</v>
      </c>
      <c r="D45" s="1">
        <v>5001</v>
      </c>
      <c r="E45" s="1">
        <v>182</v>
      </c>
      <c r="F45" s="1">
        <v>5</v>
      </c>
      <c r="G45" s="7">
        <v>40000</v>
      </c>
    </row>
    <row r="46" spans="1:7" x14ac:dyDescent="0.3">
      <c r="A46" s="6">
        <v>45</v>
      </c>
      <c r="B46" s="1">
        <v>104</v>
      </c>
      <c r="C46" s="1">
        <v>1004</v>
      </c>
      <c r="D46" s="1">
        <v>5001</v>
      </c>
      <c r="E46" s="1">
        <v>287</v>
      </c>
      <c r="F46" s="1">
        <v>5</v>
      </c>
      <c r="G46" s="7">
        <v>7500</v>
      </c>
    </row>
    <row r="47" spans="1:7" x14ac:dyDescent="0.3">
      <c r="A47" s="6">
        <v>46</v>
      </c>
      <c r="B47" s="1">
        <v>105</v>
      </c>
      <c r="C47" s="1">
        <v>1001</v>
      </c>
      <c r="D47" s="1">
        <v>5008</v>
      </c>
      <c r="E47" s="1">
        <v>209</v>
      </c>
      <c r="F47" s="1">
        <v>3</v>
      </c>
      <c r="G47" s="7">
        <v>135000</v>
      </c>
    </row>
    <row r="48" spans="1:7" x14ac:dyDescent="0.3">
      <c r="A48" s="6">
        <v>47</v>
      </c>
      <c r="B48" s="1">
        <v>101</v>
      </c>
      <c r="C48" s="1">
        <v>1004</v>
      </c>
      <c r="D48" s="1">
        <v>5003</v>
      </c>
      <c r="E48" s="1">
        <v>318</v>
      </c>
      <c r="F48" s="1">
        <v>4</v>
      </c>
      <c r="G48" s="7">
        <v>6000</v>
      </c>
    </row>
    <row r="49" spans="1:7" x14ac:dyDescent="0.3">
      <c r="A49" s="6">
        <v>48</v>
      </c>
      <c r="B49" s="1">
        <v>104</v>
      </c>
      <c r="C49" s="1">
        <v>1002</v>
      </c>
      <c r="D49" s="1">
        <v>5001</v>
      </c>
      <c r="E49" s="1">
        <v>80</v>
      </c>
      <c r="F49" s="1">
        <v>4</v>
      </c>
      <c r="G49" s="7">
        <v>300000</v>
      </c>
    </row>
    <row r="50" spans="1:7" x14ac:dyDescent="0.3">
      <c r="A50" s="6">
        <v>49</v>
      </c>
      <c r="B50" s="1">
        <v>101</v>
      </c>
      <c r="C50" s="1">
        <v>1002</v>
      </c>
      <c r="D50" s="1">
        <v>5002</v>
      </c>
      <c r="E50" s="1">
        <v>122</v>
      </c>
      <c r="F50" s="1">
        <v>4</v>
      </c>
      <c r="G50" s="7">
        <v>300000</v>
      </c>
    </row>
    <row r="51" spans="1:7" x14ac:dyDescent="0.3">
      <c r="A51" s="6">
        <v>50</v>
      </c>
      <c r="B51" s="1">
        <v>105</v>
      </c>
      <c r="C51" s="1">
        <v>1008</v>
      </c>
      <c r="D51" s="1">
        <v>5003</v>
      </c>
      <c r="E51" s="1">
        <v>84</v>
      </c>
      <c r="F51" s="1">
        <v>2</v>
      </c>
      <c r="G51" s="7">
        <v>2000</v>
      </c>
    </row>
    <row r="52" spans="1:7" x14ac:dyDescent="0.3">
      <c r="A52" s="6">
        <v>51</v>
      </c>
      <c r="B52" s="1">
        <v>103</v>
      </c>
      <c r="C52" s="1">
        <v>1002</v>
      </c>
      <c r="D52" s="1">
        <v>5002</v>
      </c>
      <c r="E52" s="1">
        <v>91</v>
      </c>
      <c r="F52" s="1">
        <v>5</v>
      </c>
      <c r="G52" s="7">
        <v>375000</v>
      </c>
    </row>
    <row r="53" spans="1:7" x14ac:dyDescent="0.3">
      <c r="A53" s="6">
        <v>52</v>
      </c>
      <c r="B53" s="1">
        <v>105</v>
      </c>
      <c r="C53" s="1">
        <v>1003</v>
      </c>
      <c r="D53" s="1">
        <v>5002</v>
      </c>
      <c r="E53" s="1">
        <v>212</v>
      </c>
      <c r="F53" s="1">
        <v>4</v>
      </c>
      <c r="G53" s="7">
        <v>2000</v>
      </c>
    </row>
    <row r="54" spans="1:7" x14ac:dyDescent="0.3">
      <c r="A54" s="6">
        <v>53</v>
      </c>
      <c r="B54" s="1">
        <v>103</v>
      </c>
      <c r="C54" s="1">
        <v>1003</v>
      </c>
      <c r="D54" s="1">
        <v>5004</v>
      </c>
      <c r="E54" s="1">
        <v>13</v>
      </c>
      <c r="F54" s="1">
        <v>2</v>
      </c>
      <c r="G54" s="7">
        <v>1000</v>
      </c>
    </row>
    <row r="55" spans="1:7" x14ac:dyDescent="0.3">
      <c r="A55" s="6">
        <v>54</v>
      </c>
      <c r="B55" s="1">
        <v>105</v>
      </c>
      <c r="C55" s="1">
        <v>1008</v>
      </c>
      <c r="D55" s="1">
        <v>5007</v>
      </c>
      <c r="E55" s="1">
        <v>92</v>
      </c>
      <c r="F55" s="1">
        <v>1</v>
      </c>
      <c r="G55" s="7">
        <v>1000</v>
      </c>
    </row>
    <row r="56" spans="1:7" x14ac:dyDescent="0.3">
      <c r="A56" s="6">
        <v>55</v>
      </c>
      <c r="B56" s="1">
        <v>102</v>
      </c>
      <c r="C56" s="1">
        <v>1003</v>
      </c>
      <c r="D56" s="1">
        <v>5002</v>
      </c>
      <c r="E56" s="1">
        <v>171</v>
      </c>
      <c r="F56" s="1">
        <v>3</v>
      </c>
      <c r="G56" s="7">
        <v>1500</v>
      </c>
    </row>
    <row r="57" spans="1:7" x14ac:dyDescent="0.3">
      <c r="A57" s="6">
        <v>56</v>
      </c>
      <c r="B57" s="1">
        <v>101</v>
      </c>
      <c r="C57" s="1">
        <v>1005</v>
      </c>
      <c r="D57" s="1">
        <v>5004</v>
      </c>
      <c r="E57" s="1">
        <v>211</v>
      </c>
      <c r="F57" s="1">
        <v>5</v>
      </c>
      <c r="G57" s="7">
        <v>40000</v>
      </c>
    </row>
    <row r="58" spans="1:7" x14ac:dyDescent="0.3">
      <c r="A58" s="6">
        <v>57</v>
      </c>
      <c r="B58" s="1">
        <v>101</v>
      </c>
      <c r="C58" s="1">
        <v>1007</v>
      </c>
      <c r="D58" s="1">
        <v>5001</v>
      </c>
      <c r="E58" s="1">
        <v>343</v>
      </c>
      <c r="F58" s="1">
        <v>5</v>
      </c>
      <c r="G58" s="7">
        <v>10000</v>
      </c>
    </row>
    <row r="59" spans="1:7" x14ac:dyDescent="0.3">
      <c r="A59" s="6">
        <v>58</v>
      </c>
      <c r="B59" s="1">
        <v>102</v>
      </c>
      <c r="C59" s="1">
        <v>1004</v>
      </c>
      <c r="D59" s="1">
        <v>5002</v>
      </c>
      <c r="E59" s="1">
        <v>128</v>
      </c>
      <c r="F59" s="1">
        <v>3</v>
      </c>
      <c r="G59" s="7">
        <v>4500</v>
      </c>
    </row>
    <row r="60" spans="1:7" x14ac:dyDescent="0.3">
      <c r="A60" s="6">
        <v>59</v>
      </c>
      <c r="B60" s="1">
        <v>103</v>
      </c>
      <c r="C60" s="1">
        <v>1004</v>
      </c>
      <c r="D60" s="1">
        <v>5007</v>
      </c>
      <c r="E60" s="1">
        <v>137</v>
      </c>
      <c r="F60" s="1">
        <v>1</v>
      </c>
      <c r="G60" s="7">
        <v>1500</v>
      </c>
    </row>
    <row r="61" spans="1:7" x14ac:dyDescent="0.3">
      <c r="A61" s="6">
        <v>60</v>
      </c>
      <c r="B61" s="1">
        <v>101</v>
      </c>
      <c r="C61" s="1">
        <v>1005</v>
      </c>
      <c r="D61" s="1">
        <v>5006</v>
      </c>
      <c r="E61" s="1">
        <v>82</v>
      </c>
      <c r="F61" s="1">
        <v>2</v>
      </c>
      <c r="G61" s="7">
        <v>16000</v>
      </c>
    </row>
    <row r="62" spans="1:7" x14ac:dyDescent="0.3">
      <c r="A62" s="6">
        <v>61</v>
      </c>
      <c r="B62" s="1">
        <v>102</v>
      </c>
      <c r="C62" s="1">
        <v>1007</v>
      </c>
      <c r="D62" s="1">
        <v>5005</v>
      </c>
      <c r="E62" s="1">
        <v>360</v>
      </c>
      <c r="F62" s="1">
        <v>3</v>
      </c>
      <c r="G62" s="7">
        <v>6000</v>
      </c>
    </row>
    <row r="63" spans="1:7" x14ac:dyDescent="0.3">
      <c r="A63" s="6">
        <v>62</v>
      </c>
      <c r="B63" s="1">
        <v>101</v>
      </c>
      <c r="C63" s="1">
        <v>1006</v>
      </c>
      <c r="D63" s="1">
        <v>5004</v>
      </c>
      <c r="E63" s="1">
        <v>56</v>
      </c>
      <c r="F63" s="1">
        <v>2</v>
      </c>
      <c r="G63" s="7">
        <v>6000</v>
      </c>
    </row>
    <row r="64" spans="1:7" x14ac:dyDescent="0.3">
      <c r="A64" s="6">
        <v>63</v>
      </c>
      <c r="B64" s="1">
        <v>104</v>
      </c>
      <c r="C64" s="1">
        <v>1008</v>
      </c>
      <c r="D64" s="1">
        <v>5006</v>
      </c>
      <c r="E64" s="1">
        <v>196</v>
      </c>
      <c r="F64" s="1">
        <v>2</v>
      </c>
      <c r="G64" s="7">
        <v>2000</v>
      </c>
    </row>
    <row r="65" spans="1:7" x14ac:dyDescent="0.3">
      <c r="A65" s="6">
        <v>64</v>
      </c>
      <c r="B65" s="1">
        <v>103</v>
      </c>
      <c r="C65" s="1">
        <v>1008</v>
      </c>
      <c r="D65" s="1">
        <v>5004</v>
      </c>
      <c r="E65" s="1">
        <v>20</v>
      </c>
      <c r="F65" s="1">
        <v>2</v>
      </c>
      <c r="G65" s="7">
        <v>2000</v>
      </c>
    </row>
    <row r="66" spans="1:7" x14ac:dyDescent="0.3">
      <c r="A66" s="6">
        <v>65</v>
      </c>
      <c r="B66" s="1">
        <v>104</v>
      </c>
      <c r="C66" s="1">
        <v>1002</v>
      </c>
      <c r="D66" s="1">
        <v>5005</v>
      </c>
      <c r="E66" s="1">
        <v>241</v>
      </c>
      <c r="F66" s="1">
        <v>1</v>
      </c>
      <c r="G66" s="7">
        <v>75000</v>
      </c>
    </row>
    <row r="67" spans="1:7" x14ac:dyDescent="0.3">
      <c r="A67" s="6">
        <v>66</v>
      </c>
      <c r="B67" s="1">
        <v>103</v>
      </c>
      <c r="C67" s="1">
        <v>1004</v>
      </c>
      <c r="D67" s="1">
        <v>5007</v>
      </c>
      <c r="E67" s="1">
        <v>114</v>
      </c>
      <c r="F67" s="1">
        <v>1</v>
      </c>
      <c r="G67" s="7">
        <v>1500</v>
      </c>
    </row>
    <row r="68" spans="1:7" x14ac:dyDescent="0.3">
      <c r="A68" s="6">
        <v>67</v>
      </c>
      <c r="B68" s="1">
        <v>102</v>
      </c>
      <c r="C68" s="1">
        <v>1004</v>
      </c>
      <c r="D68" s="1">
        <v>5003</v>
      </c>
      <c r="E68" s="1">
        <v>103</v>
      </c>
      <c r="F68" s="1">
        <v>2</v>
      </c>
      <c r="G68" s="7">
        <v>3000</v>
      </c>
    </row>
    <row r="69" spans="1:7" x14ac:dyDescent="0.3">
      <c r="A69" s="6">
        <v>68</v>
      </c>
      <c r="B69" s="1">
        <v>103</v>
      </c>
      <c r="C69" s="1">
        <v>1002</v>
      </c>
      <c r="D69" s="1">
        <v>5005</v>
      </c>
      <c r="E69" s="1">
        <v>236</v>
      </c>
      <c r="F69" s="1">
        <v>4</v>
      </c>
      <c r="G69" s="7">
        <v>300000</v>
      </c>
    </row>
    <row r="70" spans="1:7" x14ac:dyDescent="0.3">
      <c r="A70" s="6">
        <v>69</v>
      </c>
      <c r="B70" s="1">
        <v>103</v>
      </c>
      <c r="C70" s="1">
        <v>1006</v>
      </c>
      <c r="D70" s="1">
        <v>5008</v>
      </c>
      <c r="E70" s="1">
        <v>180</v>
      </c>
      <c r="F70" s="1">
        <v>5</v>
      </c>
      <c r="G70" s="7">
        <v>15000</v>
      </c>
    </row>
    <row r="71" spans="1:7" x14ac:dyDescent="0.3">
      <c r="A71" s="6">
        <v>70</v>
      </c>
      <c r="B71" s="1">
        <v>102</v>
      </c>
      <c r="C71" s="1">
        <v>1001</v>
      </c>
      <c r="D71" s="1">
        <v>5006</v>
      </c>
      <c r="E71" s="1">
        <v>157</v>
      </c>
      <c r="F71" s="1">
        <v>1</v>
      </c>
      <c r="G71" s="7">
        <v>45000</v>
      </c>
    </row>
    <row r="72" spans="1:7" x14ac:dyDescent="0.3">
      <c r="A72" s="6">
        <v>71</v>
      </c>
      <c r="B72" s="1">
        <v>103</v>
      </c>
      <c r="C72" s="1">
        <v>1004</v>
      </c>
      <c r="D72" s="1">
        <v>5002</v>
      </c>
      <c r="E72" s="1">
        <v>117</v>
      </c>
      <c r="F72" s="1">
        <v>4</v>
      </c>
      <c r="G72" s="7">
        <v>6000</v>
      </c>
    </row>
    <row r="73" spans="1:7" x14ac:dyDescent="0.3">
      <c r="A73" s="6">
        <v>72</v>
      </c>
      <c r="B73" s="1">
        <v>101</v>
      </c>
      <c r="C73" s="1">
        <v>1004</v>
      </c>
      <c r="D73" s="1">
        <v>5001</v>
      </c>
      <c r="E73" s="1">
        <v>115</v>
      </c>
      <c r="F73" s="1">
        <v>4</v>
      </c>
      <c r="G73" s="7">
        <v>6000</v>
      </c>
    </row>
    <row r="74" spans="1:7" x14ac:dyDescent="0.3">
      <c r="A74" s="6">
        <v>73</v>
      </c>
      <c r="B74" s="1">
        <v>105</v>
      </c>
      <c r="C74" s="1">
        <v>1001</v>
      </c>
      <c r="D74" s="1">
        <v>5008</v>
      </c>
      <c r="E74" s="1">
        <v>13</v>
      </c>
      <c r="F74" s="1">
        <v>5</v>
      </c>
      <c r="G74" s="7">
        <v>225000</v>
      </c>
    </row>
    <row r="75" spans="1:7" x14ac:dyDescent="0.3">
      <c r="A75" s="6">
        <v>74</v>
      </c>
      <c r="B75" s="1">
        <v>102</v>
      </c>
      <c r="C75" s="1">
        <v>1002</v>
      </c>
      <c r="D75" s="1">
        <v>5002</v>
      </c>
      <c r="E75" s="1">
        <v>338</v>
      </c>
      <c r="F75" s="1">
        <v>2</v>
      </c>
      <c r="G75" s="7">
        <v>150000</v>
      </c>
    </row>
    <row r="76" spans="1:7" x14ac:dyDescent="0.3">
      <c r="A76" s="6">
        <v>75</v>
      </c>
      <c r="B76" s="1">
        <v>105</v>
      </c>
      <c r="C76" s="1">
        <v>1001</v>
      </c>
      <c r="D76" s="1">
        <v>5002</v>
      </c>
      <c r="E76" s="1">
        <v>99</v>
      </c>
      <c r="F76" s="1">
        <v>4</v>
      </c>
      <c r="G76" s="7">
        <v>180000</v>
      </c>
    </row>
    <row r="77" spans="1:7" x14ac:dyDescent="0.3">
      <c r="A77" s="6">
        <v>76</v>
      </c>
      <c r="B77" s="1">
        <v>102</v>
      </c>
      <c r="C77" s="1">
        <v>1004</v>
      </c>
      <c r="D77" s="1">
        <v>5004</v>
      </c>
      <c r="E77" s="1">
        <v>205</v>
      </c>
      <c r="F77" s="1">
        <v>4</v>
      </c>
      <c r="G77" s="7">
        <v>6000</v>
      </c>
    </row>
    <row r="78" spans="1:7" x14ac:dyDescent="0.3">
      <c r="A78" s="6">
        <v>77</v>
      </c>
      <c r="B78" s="1">
        <v>102</v>
      </c>
      <c r="C78" s="1">
        <v>1002</v>
      </c>
      <c r="D78" s="1">
        <v>5005</v>
      </c>
      <c r="E78" s="1">
        <v>169</v>
      </c>
      <c r="F78" s="1">
        <v>4</v>
      </c>
      <c r="G78" s="7">
        <v>300000</v>
      </c>
    </row>
    <row r="79" spans="1:7" x14ac:dyDescent="0.3">
      <c r="A79" s="6">
        <v>78</v>
      </c>
      <c r="B79" s="1">
        <v>104</v>
      </c>
      <c r="C79" s="1">
        <v>1001</v>
      </c>
      <c r="D79" s="1">
        <v>5003</v>
      </c>
      <c r="E79" s="1">
        <v>143</v>
      </c>
      <c r="F79" s="1">
        <v>2</v>
      </c>
      <c r="G79" s="7">
        <v>90000</v>
      </c>
    </row>
    <row r="80" spans="1:7" x14ac:dyDescent="0.3">
      <c r="A80" s="6">
        <v>79</v>
      </c>
      <c r="B80" s="1">
        <v>104</v>
      </c>
      <c r="C80" s="1">
        <v>1006</v>
      </c>
      <c r="D80" s="1">
        <v>5006</v>
      </c>
      <c r="E80" s="1">
        <v>36</v>
      </c>
      <c r="F80" s="1">
        <v>2</v>
      </c>
      <c r="G80" s="7">
        <v>6000</v>
      </c>
    </row>
    <row r="81" spans="1:7" x14ac:dyDescent="0.3">
      <c r="A81" s="6">
        <v>80</v>
      </c>
      <c r="B81" s="1">
        <v>103</v>
      </c>
      <c r="C81" s="1">
        <v>1002</v>
      </c>
      <c r="D81" s="1">
        <v>5002</v>
      </c>
      <c r="E81" s="1">
        <v>143</v>
      </c>
      <c r="F81" s="1">
        <v>1</v>
      </c>
      <c r="G81" s="7">
        <v>75000</v>
      </c>
    </row>
    <row r="82" spans="1:7" x14ac:dyDescent="0.3">
      <c r="A82" s="6">
        <v>81</v>
      </c>
      <c r="B82" s="1">
        <v>105</v>
      </c>
      <c r="C82" s="1">
        <v>1004</v>
      </c>
      <c r="D82" s="1">
        <v>5004</v>
      </c>
      <c r="E82" s="1">
        <v>180</v>
      </c>
      <c r="F82" s="1">
        <v>1</v>
      </c>
      <c r="G82" s="7">
        <v>1500</v>
      </c>
    </row>
    <row r="83" spans="1:7" x14ac:dyDescent="0.3">
      <c r="A83" s="6">
        <v>82</v>
      </c>
      <c r="B83" s="1">
        <v>102</v>
      </c>
      <c r="C83" s="1">
        <v>1005</v>
      </c>
      <c r="D83" s="1">
        <v>5006</v>
      </c>
      <c r="E83" s="1">
        <v>329</v>
      </c>
      <c r="F83" s="1">
        <v>4</v>
      </c>
      <c r="G83" s="7">
        <v>32000</v>
      </c>
    </row>
    <row r="84" spans="1:7" x14ac:dyDescent="0.3">
      <c r="A84" s="6">
        <v>83</v>
      </c>
      <c r="B84" s="1">
        <v>103</v>
      </c>
      <c r="C84" s="1">
        <v>1008</v>
      </c>
      <c r="D84" s="1">
        <v>5005</v>
      </c>
      <c r="E84" s="1">
        <v>261</v>
      </c>
      <c r="F84" s="1">
        <v>2</v>
      </c>
      <c r="G84" s="7">
        <v>2000</v>
      </c>
    </row>
    <row r="85" spans="1:7" x14ac:dyDescent="0.3">
      <c r="A85" s="6">
        <v>84</v>
      </c>
      <c r="B85" s="1">
        <v>101</v>
      </c>
      <c r="C85" s="1">
        <v>1004</v>
      </c>
      <c r="D85" s="1">
        <v>5003</v>
      </c>
      <c r="E85" s="1">
        <v>205</v>
      </c>
      <c r="F85" s="1">
        <v>2</v>
      </c>
      <c r="G85" s="7">
        <v>3000</v>
      </c>
    </row>
    <row r="86" spans="1:7" x14ac:dyDescent="0.3">
      <c r="A86" s="6">
        <v>85</v>
      </c>
      <c r="B86" s="1">
        <v>102</v>
      </c>
      <c r="C86" s="1">
        <v>1003</v>
      </c>
      <c r="D86" s="1">
        <v>5008</v>
      </c>
      <c r="E86" s="1">
        <v>348</v>
      </c>
      <c r="F86" s="1">
        <v>5</v>
      </c>
      <c r="G86" s="7">
        <v>2500</v>
      </c>
    </row>
    <row r="87" spans="1:7" x14ac:dyDescent="0.3">
      <c r="A87" s="6">
        <v>86</v>
      </c>
      <c r="B87" s="1">
        <v>101</v>
      </c>
      <c r="C87" s="1">
        <v>1008</v>
      </c>
      <c r="D87" s="1">
        <v>5005</v>
      </c>
      <c r="E87" s="1">
        <v>275</v>
      </c>
      <c r="F87" s="1">
        <v>4</v>
      </c>
      <c r="G87" s="7">
        <v>4000</v>
      </c>
    </row>
    <row r="88" spans="1:7" x14ac:dyDescent="0.3">
      <c r="A88" s="6">
        <v>87</v>
      </c>
      <c r="B88" s="1">
        <v>103</v>
      </c>
      <c r="C88" s="1">
        <v>1004</v>
      </c>
      <c r="D88" s="1">
        <v>5001</v>
      </c>
      <c r="E88" s="1">
        <v>170</v>
      </c>
      <c r="F88" s="1">
        <v>1</v>
      </c>
      <c r="G88" s="7">
        <v>1500</v>
      </c>
    </row>
    <row r="89" spans="1:7" x14ac:dyDescent="0.3">
      <c r="A89" s="6">
        <v>88</v>
      </c>
      <c r="B89" s="1">
        <v>104</v>
      </c>
      <c r="C89" s="1">
        <v>1008</v>
      </c>
      <c r="D89" s="1">
        <v>5005</v>
      </c>
      <c r="E89" s="1">
        <v>15</v>
      </c>
      <c r="F89" s="1">
        <v>5</v>
      </c>
      <c r="G89" s="7">
        <v>5000</v>
      </c>
    </row>
    <row r="90" spans="1:7" x14ac:dyDescent="0.3">
      <c r="A90" s="6">
        <v>89</v>
      </c>
      <c r="B90" s="1">
        <v>103</v>
      </c>
      <c r="C90" s="1">
        <v>1007</v>
      </c>
      <c r="D90" s="1">
        <v>5002</v>
      </c>
      <c r="E90" s="1">
        <v>60</v>
      </c>
      <c r="F90" s="1">
        <v>2</v>
      </c>
      <c r="G90" s="7">
        <v>4000</v>
      </c>
    </row>
    <row r="91" spans="1:7" x14ac:dyDescent="0.3">
      <c r="A91" s="6">
        <v>90</v>
      </c>
      <c r="B91" s="1">
        <v>101</v>
      </c>
      <c r="C91" s="1">
        <v>1004</v>
      </c>
      <c r="D91" s="1">
        <v>5003</v>
      </c>
      <c r="E91" s="1">
        <v>134</v>
      </c>
      <c r="F91" s="1">
        <v>1</v>
      </c>
      <c r="G91" s="7">
        <v>1500</v>
      </c>
    </row>
    <row r="92" spans="1:7" x14ac:dyDescent="0.3">
      <c r="A92" s="6">
        <v>91</v>
      </c>
      <c r="B92" s="1">
        <v>102</v>
      </c>
      <c r="C92" s="1">
        <v>1002</v>
      </c>
      <c r="D92" s="1">
        <v>5005</v>
      </c>
      <c r="E92" s="1">
        <v>92</v>
      </c>
      <c r="F92" s="1">
        <v>4</v>
      </c>
      <c r="G92" s="7">
        <v>300000</v>
      </c>
    </row>
    <row r="93" spans="1:7" x14ac:dyDescent="0.3">
      <c r="A93" s="6">
        <v>92</v>
      </c>
      <c r="B93" s="1">
        <v>105</v>
      </c>
      <c r="C93" s="1">
        <v>1002</v>
      </c>
      <c r="D93" s="1">
        <v>5002</v>
      </c>
      <c r="E93" s="1">
        <v>298</v>
      </c>
      <c r="F93" s="1">
        <v>2</v>
      </c>
      <c r="G93" s="7">
        <v>150000</v>
      </c>
    </row>
    <row r="94" spans="1:7" x14ac:dyDescent="0.3">
      <c r="A94" s="6">
        <v>93</v>
      </c>
      <c r="B94" s="1">
        <v>103</v>
      </c>
      <c r="C94" s="1">
        <v>1007</v>
      </c>
      <c r="D94" s="1">
        <v>5002</v>
      </c>
      <c r="E94" s="1">
        <v>136</v>
      </c>
      <c r="F94" s="1">
        <v>4</v>
      </c>
      <c r="G94" s="7">
        <v>8000</v>
      </c>
    </row>
    <row r="95" spans="1:7" x14ac:dyDescent="0.3">
      <c r="A95" s="6">
        <v>94</v>
      </c>
      <c r="B95" s="1">
        <v>102</v>
      </c>
      <c r="C95" s="1">
        <v>1006</v>
      </c>
      <c r="D95" s="1">
        <v>5003</v>
      </c>
      <c r="E95" s="1">
        <v>20</v>
      </c>
      <c r="F95" s="1">
        <v>5</v>
      </c>
      <c r="G95" s="7">
        <v>15000</v>
      </c>
    </row>
    <row r="96" spans="1:7" x14ac:dyDescent="0.3">
      <c r="A96" s="6">
        <v>95</v>
      </c>
      <c r="B96" s="1">
        <v>104</v>
      </c>
      <c r="C96" s="1">
        <v>1007</v>
      </c>
      <c r="D96" s="1">
        <v>5005</v>
      </c>
      <c r="E96" s="1">
        <v>56</v>
      </c>
      <c r="F96" s="1">
        <v>5</v>
      </c>
      <c r="G96" s="7">
        <v>10000</v>
      </c>
    </row>
    <row r="97" spans="1:7" x14ac:dyDescent="0.3">
      <c r="A97" s="6">
        <v>96</v>
      </c>
      <c r="B97" s="1">
        <v>104</v>
      </c>
      <c r="C97" s="1">
        <v>1007</v>
      </c>
      <c r="D97" s="1">
        <v>5005</v>
      </c>
      <c r="E97" s="1">
        <v>306</v>
      </c>
      <c r="F97" s="1">
        <v>5</v>
      </c>
      <c r="G97" s="7">
        <v>10000</v>
      </c>
    </row>
    <row r="98" spans="1:7" x14ac:dyDescent="0.3">
      <c r="A98" s="6">
        <v>97</v>
      </c>
      <c r="B98" s="1">
        <v>104</v>
      </c>
      <c r="C98" s="1">
        <v>1008</v>
      </c>
      <c r="D98" s="1">
        <v>5004</v>
      </c>
      <c r="E98" s="1">
        <v>223</v>
      </c>
      <c r="F98" s="1">
        <v>3</v>
      </c>
      <c r="G98" s="7">
        <v>3000</v>
      </c>
    </row>
    <row r="99" spans="1:7" x14ac:dyDescent="0.3">
      <c r="A99" s="6">
        <v>98</v>
      </c>
      <c r="B99" s="1">
        <v>102</v>
      </c>
      <c r="C99" s="1">
        <v>1001</v>
      </c>
      <c r="D99" s="1">
        <v>5006</v>
      </c>
      <c r="E99" s="1">
        <v>177</v>
      </c>
      <c r="F99" s="1">
        <v>4</v>
      </c>
      <c r="G99" s="7">
        <v>180000</v>
      </c>
    </row>
    <row r="100" spans="1:7" x14ac:dyDescent="0.3">
      <c r="A100" s="6">
        <v>99</v>
      </c>
      <c r="B100" s="1">
        <v>103</v>
      </c>
      <c r="C100" s="1">
        <v>1002</v>
      </c>
      <c r="D100" s="1">
        <v>5004</v>
      </c>
      <c r="E100" s="1">
        <v>161</v>
      </c>
      <c r="F100" s="1">
        <v>5</v>
      </c>
      <c r="G100" s="7">
        <v>375000</v>
      </c>
    </row>
    <row r="101" spans="1:7" x14ac:dyDescent="0.3">
      <c r="A101" s="8">
        <v>100</v>
      </c>
      <c r="B101" s="9">
        <v>102</v>
      </c>
      <c r="C101" s="9">
        <v>1001</v>
      </c>
      <c r="D101" s="9">
        <v>5005</v>
      </c>
      <c r="E101" s="1">
        <v>224</v>
      </c>
      <c r="F101" s="9">
        <v>5</v>
      </c>
      <c r="G101" s="10">
        <v>225000</v>
      </c>
    </row>
    <row r="106" spans="1:7" x14ac:dyDescent="0.3">
      <c r="A106" s="2"/>
    </row>
    <row r="107" spans="1:7" x14ac:dyDescent="0.3">
      <c r="A107" s="2"/>
    </row>
  </sheetData>
  <conditionalFormatting sqref="E1 E102:E1048576">
    <cfRule type="duplicateValues" dxfId="1" priority="2"/>
  </conditionalFormatting>
  <conditionalFormatting sqref="E1:E1048576">
    <cfRule type="duplicateValues" dxfId="0" priority="1"/>
  </conditionalFormatting>
  <dataValidations count="2">
    <dataValidation type="list" allowBlank="1" showInputMessage="1" showErrorMessage="1" sqref="I10" xr:uid="{400DA976-B834-4098-AC2E-F5FE1A137D14}">
      <formula1>$B$2:$B$101</formula1>
    </dataValidation>
    <dataValidation type="list" allowBlank="1" showInputMessage="1" showErrorMessage="1" sqref="I14" xr:uid="{8A9AB7DD-E305-4DEB-A26E-21385EE2BA8E}">
      <formula1>$C$2:$C$101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24BA58-242A-4063-95EA-B6311A7CA563}">
          <x14:formula1>
            <xm:f>ProductDim!$C$2:$C$9</xm:f>
          </x14:formula1>
          <xm:sqref>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150" zoomScaleNormal="150" workbookViewId="0">
      <selection activeCell="B9" sqref="B9"/>
    </sheetView>
  </sheetViews>
  <sheetFormatPr defaultRowHeight="14.4" x14ac:dyDescent="0.3"/>
  <cols>
    <col min="1" max="4" width="22.33203125" customWidth="1"/>
    <col min="6" max="6" width="15" bestFit="1" customWidth="1"/>
    <col min="7" max="7" width="13.88671875" bestFit="1" customWidth="1"/>
  </cols>
  <sheetData>
    <row r="1" spans="1:7" ht="16.2" thickBot="1" x14ac:dyDescent="0.35">
      <c r="A1" s="18" t="s">
        <v>1</v>
      </c>
      <c r="B1" s="19" t="s">
        <v>7</v>
      </c>
      <c r="C1" s="19" t="s">
        <v>8</v>
      </c>
      <c r="D1" s="20" t="s">
        <v>9</v>
      </c>
      <c r="F1" s="17" t="s">
        <v>78</v>
      </c>
      <c r="G1" s="23" t="s">
        <v>79</v>
      </c>
    </row>
    <row r="2" spans="1:7" ht="16.2" thickTop="1" x14ac:dyDescent="0.3">
      <c r="A2" s="6">
        <v>101</v>
      </c>
      <c r="B2" s="1" t="s">
        <v>10</v>
      </c>
      <c r="C2" s="1" t="s">
        <v>11</v>
      </c>
      <c r="D2" s="7" t="s">
        <v>12</v>
      </c>
      <c r="F2" s="24" t="s">
        <v>1</v>
      </c>
      <c r="G2" s="25" t="s">
        <v>76</v>
      </c>
    </row>
    <row r="3" spans="1:7" x14ac:dyDescent="0.3">
      <c r="A3" s="6">
        <v>102</v>
      </c>
      <c r="B3" s="1" t="s">
        <v>13</v>
      </c>
      <c r="C3" s="1" t="s">
        <v>14</v>
      </c>
      <c r="D3" s="7" t="s">
        <v>15</v>
      </c>
    </row>
    <row r="4" spans="1:7" x14ac:dyDescent="0.3">
      <c r="A4" s="6">
        <v>103</v>
      </c>
      <c r="B4" s="1" t="s">
        <v>16</v>
      </c>
      <c r="C4" s="1" t="s">
        <v>17</v>
      </c>
      <c r="D4" s="7" t="s">
        <v>18</v>
      </c>
    </row>
    <row r="5" spans="1:7" x14ac:dyDescent="0.3">
      <c r="A5" s="6">
        <v>104</v>
      </c>
      <c r="B5" s="1" t="s">
        <v>19</v>
      </c>
      <c r="C5" s="1" t="s">
        <v>20</v>
      </c>
      <c r="D5" s="7" t="s">
        <v>21</v>
      </c>
    </row>
    <row r="6" spans="1:7" x14ac:dyDescent="0.3">
      <c r="A6" s="8">
        <v>105</v>
      </c>
      <c r="B6" s="9" t="s">
        <v>22</v>
      </c>
      <c r="C6" s="9" t="s">
        <v>23</v>
      </c>
      <c r="D6" s="10" t="s">
        <v>24</v>
      </c>
    </row>
    <row r="9" spans="1:7" x14ac:dyDescent="0.3">
      <c r="A9" s="5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150" zoomScaleNormal="150" workbookViewId="0">
      <selection activeCell="C12" sqref="C12"/>
    </sheetView>
  </sheetViews>
  <sheetFormatPr defaultRowHeight="14.4" x14ac:dyDescent="0.3"/>
  <cols>
    <col min="1" max="4" width="16.88671875" customWidth="1"/>
    <col min="6" max="6" width="15" bestFit="1" customWidth="1"/>
    <col min="7" max="7" width="13.88671875" bestFit="1" customWidth="1"/>
  </cols>
  <sheetData>
    <row r="1" spans="1:7" ht="16.2" thickBot="1" x14ac:dyDescent="0.35">
      <c r="A1" s="18" t="s">
        <v>2</v>
      </c>
      <c r="B1" s="19" t="s">
        <v>25</v>
      </c>
      <c r="C1" s="19" t="s">
        <v>26</v>
      </c>
      <c r="D1" s="20" t="s">
        <v>27</v>
      </c>
      <c r="F1" s="17" t="s">
        <v>78</v>
      </c>
      <c r="G1" s="23" t="s">
        <v>79</v>
      </c>
    </row>
    <row r="2" spans="1:7" ht="16.2" thickTop="1" x14ac:dyDescent="0.3">
      <c r="A2" s="6">
        <v>1001</v>
      </c>
      <c r="B2" s="1" t="s">
        <v>28</v>
      </c>
      <c r="C2" s="1" t="s">
        <v>29</v>
      </c>
      <c r="D2" s="7">
        <v>45000</v>
      </c>
      <c r="F2" s="24" t="s">
        <v>2</v>
      </c>
      <c r="G2" s="25" t="s">
        <v>76</v>
      </c>
    </row>
    <row r="3" spans="1:7" x14ac:dyDescent="0.3">
      <c r="A3" s="6">
        <v>1002</v>
      </c>
      <c r="B3" s="1" t="s">
        <v>30</v>
      </c>
      <c r="C3" s="1" t="s">
        <v>29</v>
      </c>
      <c r="D3" s="7">
        <v>75000</v>
      </c>
    </row>
    <row r="4" spans="1:7" x14ac:dyDescent="0.3">
      <c r="A4" s="6">
        <v>1003</v>
      </c>
      <c r="B4" s="1" t="s">
        <v>31</v>
      </c>
      <c r="C4" s="1" t="s">
        <v>32</v>
      </c>
      <c r="D4" s="7">
        <v>500</v>
      </c>
    </row>
    <row r="5" spans="1:7" x14ac:dyDescent="0.3">
      <c r="A5" s="6">
        <v>1004</v>
      </c>
      <c r="B5" s="1" t="s">
        <v>33</v>
      </c>
      <c r="C5" s="1" t="s">
        <v>32</v>
      </c>
      <c r="D5" s="7">
        <v>1500</v>
      </c>
    </row>
    <row r="6" spans="1:7" x14ac:dyDescent="0.3">
      <c r="A6" s="6">
        <v>1005</v>
      </c>
      <c r="B6" s="1" t="s">
        <v>34</v>
      </c>
      <c r="C6" s="1" t="s">
        <v>35</v>
      </c>
      <c r="D6" s="7">
        <v>8000</v>
      </c>
    </row>
    <row r="7" spans="1:7" x14ac:dyDescent="0.3">
      <c r="A7" s="6">
        <v>1006</v>
      </c>
      <c r="B7" s="1" t="s">
        <v>36</v>
      </c>
      <c r="C7" s="1" t="s">
        <v>35</v>
      </c>
      <c r="D7" s="7">
        <v>3000</v>
      </c>
    </row>
    <row r="8" spans="1:7" x14ac:dyDescent="0.3">
      <c r="A8" s="6">
        <v>1007</v>
      </c>
      <c r="B8" s="1" t="s">
        <v>37</v>
      </c>
      <c r="C8" s="1" t="s">
        <v>32</v>
      </c>
      <c r="D8" s="7">
        <v>2000</v>
      </c>
    </row>
    <row r="9" spans="1:7" x14ac:dyDescent="0.3">
      <c r="A9" s="8">
        <v>1008</v>
      </c>
      <c r="B9" s="9" t="s">
        <v>38</v>
      </c>
      <c r="C9" s="9" t="s">
        <v>39</v>
      </c>
      <c r="D9" s="10">
        <v>1000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50" zoomScaleNormal="150" workbookViewId="0">
      <selection activeCell="C12" sqref="C12"/>
    </sheetView>
  </sheetViews>
  <sheetFormatPr defaultRowHeight="14.4" x14ac:dyDescent="0.3"/>
  <cols>
    <col min="1" max="4" width="15.5546875" customWidth="1"/>
    <col min="6" max="6" width="16.21875" bestFit="1" customWidth="1"/>
    <col min="7" max="8" width="16.5546875" style="2" customWidth="1"/>
  </cols>
  <sheetData>
    <row r="1" spans="1:8" ht="16.2" thickBot="1" x14ac:dyDescent="0.35">
      <c r="A1" s="18" t="s">
        <v>3</v>
      </c>
      <c r="B1" s="18" t="s">
        <v>40</v>
      </c>
      <c r="C1" s="18" t="s">
        <v>8</v>
      </c>
      <c r="D1" s="18" t="s">
        <v>41</v>
      </c>
      <c r="G1" s="17" t="s">
        <v>78</v>
      </c>
      <c r="H1" s="23" t="s">
        <v>79</v>
      </c>
    </row>
    <row r="2" spans="1:8" ht="16.2" thickTop="1" x14ac:dyDescent="0.3">
      <c r="A2" s="6">
        <v>5001</v>
      </c>
      <c r="B2" s="1" t="s">
        <v>42</v>
      </c>
      <c r="C2" s="1" t="s">
        <v>11</v>
      </c>
      <c r="D2" s="7" t="s">
        <v>43</v>
      </c>
      <c r="G2" s="24" t="s">
        <v>3</v>
      </c>
      <c r="H2" s="25" t="s">
        <v>76</v>
      </c>
    </row>
    <row r="3" spans="1:8" x14ac:dyDescent="0.3">
      <c r="A3" s="6">
        <v>5002</v>
      </c>
      <c r="B3" s="1" t="s">
        <v>44</v>
      </c>
      <c r="C3" s="1" t="s">
        <v>14</v>
      </c>
      <c r="D3" s="7" t="s">
        <v>45</v>
      </c>
    </row>
    <row r="4" spans="1:8" x14ac:dyDescent="0.3">
      <c r="A4" s="6">
        <v>5003</v>
      </c>
      <c r="B4" s="1" t="s">
        <v>46</v>
      </c>
      <c r="C4" s="1" t="s">
        <v>17</v>
      </c>
      <c r="D4" s="7" t="s">
        <v>45</v>
      </c>
    </row>
    <row r="5" spans="1:8" x14ac:dyDescent="0.3">
      <c r="A5" s="6">
        <v>5004</v>
      </c>
      <c r="B5" s="1" t="s">
        <v>47</v>
      </c>
      <c r="C5" s="1" t="s">
        <v>20</v>
      </c>
      <c r="D5" s="7" t="s">
        <v>43</v>
      </c>
    </row>
    <row r="6" spans="1:8" x14ac:dyDescent="0.3">
      <c r="A6" s="6">
        <v>5005</v>
      </c>
      <c r="B6" s="1" t="s">
        <v>48</v>
      </c>
      <c r="C6" s="1" t="s">
        <v>23</v>
      </c>
      <c r="D6" s="7" t="s">
        <v>49</v>
      </c>
    </row>
    <row r="7" spans="1:8" x14ac:dyDescent="0.3">
      <c r="A7" s="6">
        <v>5006</v>
      </c>
      <c r="B7" s="1" t="s">
        <v>50</v>
      </c>
      <c r="C7" s="1" t="s">
        <v>11</v>
      </c>
      <c r="D7" s="7" t="s">
        <v>45</v>
      </c>
    </row>
    <row r="8" spans="1:8" x14ac:dyDescent="0.3">
      <c r="A8" s="6">
        <v>5007</v>
      </c>
      <c r="B8" s="1" t="s">
        <v>51</v>
      </c>
      <c r="C8" s="1" t="s">
        <v>52</v>
      </c>
      <c r="D8" s="7" t="s">
        <v>49</v>
      </c>
    </row>
    <row r="9" spans="1:8" x14ac:dyDescent="0.3">
      <c r="A9" s="8">
        <v>5008</v>
      </c>
      <c r="B9" s="9" t="s">
        <v>53</v>
      </c>
      <c r="C9" s="9" t="s">
        <v>54</v>
      </c>
      <c r="D9" s="10" t="s">
        <v>43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6"/>
  <sheetViews>
    <sheetView tabSelected="1" zoomScale="140" zoomScaleNormal="140" workbookViewId="0">
      <selection activeCell="F6" sqref="F6"/>
    </sheetView>
  </sheetViews>
  <sheetFormatPr defaultRowHeight="14.4" x14ac:dyDescent="0.3"/>
  <cols>
    <col min="1" max="1" width="11.109375" style="2" bestFit="1" customWidth="1"/>
    <col min="2" max="2" width="13.109375" style="4" customWidth="1"/>
    <col min="3" max="3" width="11.21875" style="2" bestFit="1" customWidth="1"/>
    <col min="4" max="4" width="15.33203125" style="2" bestFit="1" customWidth="1"/>
    <col min="5" max="5" width="11.88671875" style="2" bestFit="1" customWidth="1"/>
    <col min="6" max="6" width="9.109375" style="2" bestFit="1" customWidth="1"/>
    <col min="9" max="9" width="15" bestFit="1" customWidth="1"/>
    <col min="10" max="10" width="13.88671875" bestFit="1" customWidth="1"/>
  </cols>
  <sheetData>
    <row r="1" spans="1:10" ht="16.2" thickBot="1" x14ac:dyDescent="0.35">
      <c r="A1" s="18" t="s">
        <v>4</v>
      </c>
      <c r="B1" s="21" t="s">
        <v>55</v>
      </c>
      <c r="C1" s="19" t="s">
        <v>56</v>
      </c>
      <c r="D1" s="19" t="s">
        <v>57</v>
      </c>
      <c r="E1" s="19" t="s">
        <v>58</v>
      </c>
      <c r="F1" s="20" t="s">
        <v>59</v>
      </c>
      <c r="I1" s="17" t="s">
        <v>78</v>
      </c>
      <c r="J1" s="23" t="s">
        <v>79</v>
      </c>
    </row>
    <row r="2" spans="1:10" ht="16.2" thickTop="1" x14ac:dyDescent="0.3">
      <c r="A2" s="6">
        <v>1</v>
      </c>
      <c r="B2" s="3">
        <v>45658</v>
      </c>
      <c r="C2" s="1" t="s">
        <v>60</v>
      </c>
      <c r="D2" s="1">
        <v>1</v>
      </c>
      <c r="E2" s="1" t="s">
        <v>61</v>
      </c>
      <c r="F2" s="7">
        <v>2025</v>
      </c>
      <c r="I2" s="24" t="s">
        <v>4</v>
      </c>
      <c r="J2" s="25" t="s">
        <v>76</v>
      </c>
    </row>
    <row r="3" spans="1:10" x14ac:dyDescent="0.3">
      <c r="A3" s="6">
        <v>2</v>
      </c>
      <c r="B3" s="3">
        <v>45659</v>
      </c>
      <c r="C3" s="1" t="s">
        <v>60</v>
      </c>
      <c r="D3" s="1">
        <v>1</v>
      </c>
      <c r="E3" s="1" t="s">
        <v>61</v>
      </c>
      <c r="F3" s="7">
        <v>2025</v>
      </c>
    </row>
    <row r="4" spans="1:10" x14ac:dyDescent="0.3">
      <c r="A4" s="6">
        <v>3</v>
      </c>
      <c r="B4" s="3">
        <v>45660</v>
      </c>
      <c r="C4" s="1" t="s">
        <v>60</v>
      </c>
      <c r="D4" s="1">
        <v>1</v>
      </c>
      <c r="E4" s="1" t="s">
        <v>61</v>
      </c>
      <c r="F4" s="7">
        <v>2025</v>
      </c>
    </row>
    <row r="5" spans="1:10" x14ac:dyDescent="0.3">
      <c r="A5" s="6">
        <v>4</v>
      </c>
      <c r="B5" s="3">
        <v>45661</v>
      </c>
      <c r="C5" s="1" t="s">
        <v>60</v>
      </c>
      <c r="D5" s="1">
        <v>1</v>
      </c>
      <c r="E5" s="1" t="s">
        <v>61</v>
      </c>
      <c r="F5" s="7">
        <v>2025</v>
      </c>
    </row>
    <row r="6" spans="1:10" x14ac:dyDescent="0.3">
      <c r="A6" s="6">
        <v>5</v>
      </c>
      <c r="B6" s="3">
        <v>45662</v>
      </c>
      <c r="C6" s="1" t="s">
        <v>60</v>
      </c>
      <c r="D6" s="1">
        <v>1</v>
      </c>
      <c r="E6" s="1" t="s">
        <v>61</v>
      </c>
      <c r="F6" s="7">
        <v>2025</v>
      </c>
    </row>
    <row r="7" spans="1:10" x14ac:dyDescent="0.3">
      <c r="A7" s="6">
        <v>6</v>
      </c>
      <c r="B7" s="3">
        <v>45663</v>
      </c>
      <c r="C7" s="1" t="s">
        <v>60</v>
      </c>
      <c r="D7" s="1">
        <v>1</v>
      </c>
      <c r="E7" s="1" t="s">
        <v>61</v>
      </c>
      <c r="F7" s="7">
        <v>2025</v>
      </c>
    </row>
    <row r="8" spans="1:10" x14ac:dyDescent="0.3">
      <c r="A8" s="6">
        <v>7</v>
      </c>
      <c r="B8" s="3">
        <v>45664</v>
      </c>
      <c r="C8" s="1" t="s">
        <v>60</v>
      </c>
      <c r="D8" s="1">
        <v>1</v>
      </c>
      <c r="E8" s="1" t="s">
        <v>61</v>
      </c>
      <c r="F8" s="7">
        <v>2025</v>
      </c>
    </row>
    <row r="9" spans="1:10" x14ac:dyDescent="0.3">
      <c r="A9" s="6">
        <v>8</v>
      </c>
      <c r="B9" s="3">
        <v>45665</v>
      </c>
      <c r="C9" s="1" t="s">
        <v>60</v>
      </c>
      <c r="D9" s="1">
        <v>1</v>
      </c>
      <c r="E9" s="1" t="s">
        <v>61</v>
      </c>
      <c r="F9" s="7">
        <v>2025</v>
      </c>
    </row>
    <row r="10" spans="1:10" x14ac:dyDescent="0.3">
      <c r="A10" s="6">
        <v>9</v>
      </c>
      <c r="B10" s="3">
        <v>45666</v>
      </c>
      <c r="C10" s="1" t="s">
        <v>60</v>
      </c>
      <c r="D10" s="1">
        <v>1</v>
      </c>
      <c r="E10" s="1" t="s">
        <v>61</v>
      </c>
      <c r="F10" s="7">
        <v>2025</v>
      </c>
    </row>
    <row r="11" spans="1:10" x14ac:dyDescent="0.3">
      <c r="A11" s="6">
        <v>10</v>
      </c>
      <c r="B11" s="3">
        <v>45667</v>
      </c>
      <c r="C11" s="1" t="s">
        <v>60</v>
      </c>
      <c r="D11" s="1">
        <v>1</v>
      </c>
      <c r="E11" s="1" t="s">
        <v>61</v>
      </c>
      <c r="F11" s="7">
        <v>2025</v>
      </c>
    </row>
    <row r="12" spans="1:10" x14ac:dyDescent="0.3">
      <c r="A12" s="6">
        <v>11</v>
      </c>
      <c r="B12" s="3">
        <v>45668</v>
      </c>
      <c r="C12" s="1" t="s">
        <v>60</v>
      </c>
      <c r="D12" s="1">
        <v>1</v>
      </c>
      <c r="E12" s="1" t="s">
        <v>61</v>
      </c>
      <c r="F12" s="7">
        <v>2025</v>
      </c>
    </row>
    <row r="13" spans="1:10" x14ac:dyDescent="0.3">
      <c r="A13" s="6">
        <v>12</v>
      </c>
      <c r="B13" s="3">
        <v>45669</v>
      </c>
      <c r="C13" s="1" t="s">
        <v>60</v>
      </c>
      <c r="D13" s="1">
        <v>1</v>
      </c>
      <c r="E13" s="1" t="s">
        <v>61</v>
      </c>
      <c r="F13" s="7">
        <v>2025</v>
      </c>
    </row>
    <row r="14" spans="1:10" x14ac:dyDescent="0.3">
      <c r="A14" s="6">
        <v>13</v>
      </c>
      <c r="B14" s="3">
        <v>45670</v>
      </c>
      <c r="C14" s="1" t="s">
        <v>60</v>
      </c>
      <c r="D14" s="1">
        <v>1</v>
      </c>
      <c r="E14" s="1" t="s">
        <v>61</v>
      </c>
      <c r="F14" s="7">
        <v>2025</v>
      </c>
    </row>
    <row r="15" spans="1:10" x14ac:dyDescent="0.3">
      <c r="A15" s="6">
        <v>14</v>
      </c>
      <c r="B15" s="3">
        <v>45671</v>
      </c>
      <c r="C15" s="1" t="s">
        <v>60</v>
      </c>
      <c r="D15" s="1">
        <v>1</v>
      </c>
      <c r="E15" s="1" t="s">
        <v>61</v>
      </c>
      <c r="F15" s="7">
        <v>2025</v>
      </c>
    </row>
    <row r="16" spans="1:10" x14ac:dyDescent="0.3">
      <c r="A16" s="6">
        <v>15</v>
      </c>
      <c r="B16" s="3">
        <v>45672</v>
      </c>
      <c r="C16" s="1" t="s">
        <v>60</v>
      </c>
      <c r="D16" s="1">
        <v>1</v>
      </c>
      <c r="E16" s="1" t="s">
        <v>61</v>
      </c>
      <c r="F16" s="7">
        <v>2025</v>
      </c>
    </row>
    <row r="17" spans="1:6" x14ac:dyDescent="0.3">
      <c r="A17" s="6">
        <v>16</v>
      </c>
      <c r="B17" s="3">
        <v>45673</v>
      </c>
      <c r="C17" s="1" t="s">
        <v>60</v>
      </c>
      <c r="D17" s="1">
        <v>1</v>
      </c>
      <c r="E17" s="1" t="s">
        <v>61</v>
      </c>
      <c r="F17" s="7">
        <v>2025</v>
      </c>
    </row>
    <row r="18" spans="1:6" x14ac:dyDescent="0.3">
      <c r="A18" s="6">
        <v>17</v>
      </c>
      <c r="B18" s="3">
        <v>45674</v>
      </c>
      <c r="C18" s="1" t="s">
        <v>60</v>
      </c>
      <c r="D18" s="1">
        <v>1</v>
      </c>
      <c r="E18" s="1" t="s">
        <v>61</v>
      </c>
      <c r="F18" s="7">
        <v>2025</v>
      </c>
    </row>
    <row r="19" spans="1:6" x14ac:dyDescent="0.3">
      <c r="A19" s="6">
        <v>18</v>
      </c>
      <c r="B19" s="3">
        <v>45675</v>
      </c>
      <c r="C19" s="1" t="s">
        <v>60</v>
      </c>
      <c r="D19" s="1">
        <v>1</v>
      </c>
      <c r="E19" s="1" t="s">
        <v>61</v>
      </c>
      <c r="F19" s="7">
        <v>2025</v>
      </c>
    </row>
    <row r="20" spans="1:6" x14ac:dyDescent="0.3">
      <c r="A20" s="6">
        <v>19</v>
      </c>
      <c r="B20" s="3">
        <v>45676</v>
      </c>
      <c r="C20" s="1" t="s">
        <v>60</v>
      </c>
      <c r="D20" s="1">
        <v>1</v>
      </c>
      <c r="E20" s="1" t="s">
        <v>61</v>
      </c>
      <c r="F20" s="7">
        <v>2025</v>
      </c>
    </row>
    <row r="21" spans="1:6" x14ac:dyDescent="0.3">
      <c r="A21" s="6">
        <v>20</v>
      </c>
      <c r="B21" s="3">
        <v>45677</v>
      </c>
      <c r="C21" s="1" t="s">
        <v>60</v>
      </c>
      <c r="D21" s="1">
        <v>1</v>
      </c>
      <c r="E21" s="1" t="s">
        <v>61</v>
      </c>
      <c r="F21" s="7">
        <v>2025</v>
      </c>
    </row>
    <row r="22" spans="1:6" x14ac:dyDescent="0.3">
      <c r="A22" s="6">
        <v>21</v>
      </c>
      <c r="B22" s="3">
        <v>45678</v>
      </c>
      <c r="C22" s="1" t="s">
        <v>60</v>
      </c>
      <c r="D22" s="1">
        <v>1</v>
      </c>
      <c r="E22" s="1" t="s">
        <v>61</v>
      </c>
      <c r="F22" s="7">
        <v>2025</v>
      </c>
    </row>
    <row r="23" spans="1:6" x14ac:dyDescent="0.3">
      <c r="A23" s="6">
        <v>22</v>
      </c>
      <c r="B23" s="3">
        <v>45679</v>
      </c>
      <c r="C23" s="1" t="s">
        <v>60</v>
      </c>
      <c r="D23" s="1">
        <v>1</v>
      </c>
      <c r="E23" s="1" t="s">
        <v>61</v>
      </c>
      <c r="F23" s="7">
        <v>2025</v>
      </c>
    </row>
    <row r="24" spans="1:6" x14ac:dyDescent="0.3">
      <c r="A24" s="6">
        <v>23</v>
      </c>
      <c r="B24" s="3">
        <v>45680</v>
      </c>
      <c r="C24" s="1" t="s">
        <v>60</v>
      </c>
      <c r="D24" s="1">
        <v>1</v>
      </c>
      <c r="E24" s="1" t="s">
        <v>61</v>
      </c>
      <c r="F24" s="7">
        <v>2025</v>
      </c>
    </row>
    <row r="25" spans="1:6" x14ac:dyDescent="0.3">
      <c r="A25" s="6">
        <v>24</v>
      </c>
      <c r="B25" s="3">
        <v>45681</v>
      </c>
      <c r="C25" s="1" t="s">
        <v>60</v>
      </c>
      <c r="D25" s="1">
        <v>1</v>
      </c>
      <c r="E25" s="1" t="s">
        <v>61</v>
      </c>
      <c r="F25" s="7">
        <v>2025</v>
      </c>
    </row>
    <row r="26" spans="1:6" x14ac:dyDescent="0.3">
      <c r="A26" s="6">
        <v>25</v>
      </c>
      <c r="B26" s="3">
        <v>45682</v>
      </c>
      <c r="C26" s="1" t="s">
        <v>60</v>
      </c>
      <c r="D26" s="1">
        <v>1</v>
      </c>
      <c r="E26" s="1" t="s">
        <v>61</v>
      </c>
      <c r="F26" s="7">
        <v>2025</v>
      </c>
    </row>
    <row r="27" spans="1:6" x14ac:dyDescent="0.3">
      <c r="A27" s="6">
        <v>26</v>
      </c>
      <c r="B27" s="3">
        <v>45683</v>
      </c>
      <c r="C27" s="1" t="s">
        <v>60</v>
      </c>
      <c r="D27" s="1">
        <v>1</v>
      </c>
      <c r="E27" s="1" t="s">
        <v>61</v>
      </c>
      <c r="F27" s="7">
        <v>2025</v>
      </c>
    </row>
    <row r="28" spans="1:6" x14ac:dyDescent="0.3">
      <c r="A28" s="6">
        <v>27</v>
      </c>
      <c r="B28" s="3">
        <v>45684</v>
      </c>
      <c r="C28" s="1" t="s">
        <v>60</v>
      </c>
      <c r="D28" s="1">
        <v>1</v>
      </c>
      <c r="E28" s="1" t="s">
        <v>61</v>
      </c>
      <c r="F28" s="7">
        <v>2025</v>
      </c>
    </row>
    <row r="29" spans="1:6" x14ac:dyDescent="0.3">
      <c r="A29" s="6">
        <v>28</v>
      </c>
      <c r="B29" s="3">
        <v>45685</v>
      </c>
      <c r="C29" s="1" t="s">
        <v>60</v>
      </c>
      <c r="D29" s="1">
        <v>1</v>
      </c>
      <c r="E29" s="1" t="s">
        <v>61</v>
      </c>
      <c r="F29" s="7">
        <v>2025</v>
      </c>
    </row>
    <row r="30" spans="1:6" x14ac:dyDescent="0.3">
      <c r="A30" s="6">
        <v>29</v>
      </c>
      <c r="B30" s="3">
        <v>45686</v>
      </c>
      <c r="C30" s="1" t="s">
        <v>60</v>
      </c>
      <c r="D30" s="1">
        <v>1</v>
      </c>
      <c r="E30" s="1" t="s">
        <v>61</v>
      </c>
      <c r="F30" s="7">
        <v>2025</v>
      </c>
    </row>
    <row r="31" spans="1:6" x14ac:dyDescent="0.3">
      <c r="A31" s="6">
        <v>30</v>
      </c>
      <c r="B31" s="3">
        <v>45687</v>
      </c>
      <c r="C31" s="1" t="s">
        <v>60</v>
      </c>
      <c r="D31" s="1">
        <v>1</v>
      </c>
      <c r="E31" s="1" t="s">
        <v>61</v>
      </c>
      <c r="F31" s="7">
        <v>2025</v>
      </c>
    </row>
    <row r="32" spans="1:6" x14ac:dyDescent="0.3">
      <c r="A32" s="6">
        <v>31</v>
      </c>
      <c r="B32" s="3">
        <v>45688</v>
      </c>
      <c r="C32" s="1" t="s">
        <v>60</v>
      </c>
      <c r="D32" s="1">
        <v>1</v>
      </c>
      <c r="E32" s="1" t="s">
        <v>61</v>
      </c>
      <c r="F32" s="7">
        <v>2025</v>
      </c>
    </row>
    <row r="33" spans="1:6" x14ac:dyDescent="0.3">
      <c r="A33" s="6">
        <v>32</v>
      </c>
      <c r="B33" s="3">
        <v>45689</v>
      </c>
      <c r="C33" s="1" t="s">
        <v>62</v>
      </c>
      <c r="D33" s="1">
        <v>2</v>
      </c>
      <c r="E33" s="1" t="s">
        <v>61</v>
      </c>
      <c r="F33" s="7">
        <v>2025</v>
      </c>
    </row>
    <row r="34" spans="1:6" x14ac:dyDescent="0.3">
      <c r="A34" s="6">
        <v>33</v>
      </c>
      <c r="B34" s="3">
        <v>45690</v>
      </c>
      <c r="C34" s="1" t="s">
        <v>62</v>
      </c>
      <c r="D34" s="1">
        <v>2</v>
      </c>
      <c r="E34" s="1" t="s">
        <v>61</v>
      </c>
      <c r="F34" s="7">
        <v>2025</v>
      </c>
    </row>
    <row r="35" spans="1:6" x14ac:dyDescent="0.3">
      <c r="A35" s="6">
        <v>34</v>
      </c>
      <c r="B35" s="3">
        <v>45691</v>
      </c>
      <c r="C35" s="1" t="s">
        <v>62</v>
      </c>
      <c r="D35" s="1">
        <v>2</v>
      </c>
      <c r="E35" s="1" t="s">
        <v>61</v>
      </c>
      <c r="F35" s="7">
        <v>2025</v>
      </c>
    </row>
    <row r="36" spans="1:6" x14ac:dyDescent="0.3">
      <c r="A36" s="6">
        <v>35</v>
      </c>
      <c r="B36" s="3">
        <v>45692</v>
      </c>
      <c r="C36" s="1" t="s">
        <v>62</v>
      </c>
      <c r="D36" s="1">
        <v>2</v>
      </c>
      <c r="E36" s="1" t="s">
        <v>61</v>
      </c>
      <c r="F36" s="7">
        <v>2025</v>
      </c>
    </row>
    <row r="37" spans="1:6" x14ac:dyDescent="0.3">
      <c r="A37" s="6">
        <v>36</v>
      </c>
      <c r="B37" s="3">
        <v>45693</v>
      </c>
      <c r="C37" s="1" t="s">
        <v>62</v>
      </c>
      <c r="D37" s="1">
        <v>2</v>
      </c>
      <c r="E37" s="1" t="s">
        <v>61</v>
      </c>
      <c r="F37" s="7">
        <v>2025</v>
      </c>
    </row>
    <row r="38" spans="1:6" x14ac:dyDescent="0.3">
      <c r="A38" s="6">
        <v>37</v>
      </c>
      <c r="B38" s="3">
        <v>45694</v>
      </c>
      <c r="C38" s="1" t="s">
        <v>62</v>
      </c>
      <c r="D38" s="1">
        <v>2</v>
      </c>
      <c r="E38" s="1" t="s">
        <v>61</v>
      </c>
      <c r="F38" s="7">
        <v>2025</v>
      </c>
    </row>
    <row r="39" spans="1:6" x14ac:dyDescent="0.3">
      <c r="A39" s="6">
        <v>38</v>
      </c>
      <c r="B39" s="3">
        <v>45695</v>
      </c>
      <c r="C39" s="1" t="s">
        <v>62</v>
      </c>
      <c r="D39" s="1">
        <v>2</v>
      </c>
      <c r="E39" s="1" t="s">
        <v>61</v>
      </c>
      <c r="F39" s="7">
        <v>2025</v>
      </c>
    </row>
    <row r="40" spans="1:6" x14ac:dyDescent="0.3">
      <c r="A40" s="6">
        <v>39</v>
      </c>
      <c r="B40" s="3">
        <v>45696</v>
      </c>
      <c r="C40" s="1" t="s">
        <v>62</v>
      </c>
      <c r="D40" s="1">
        <v>2</v>
      </c>
      <c r="E40" s="1" t="s">
        <v>61</v>
      </c>
      <c r="F40" s="7">
        <v>2025</v>
      </c>
    </row>
    <row r="41" spans="1:6" x14ac:dyDescent="0.3">
      <c r="A41" s="6">
        <v>40</v>
      </c>
      <c r="B41" s="3">
        <v>45697</v>
      </c>
      <c r="C41" s="1" t="s">
        <v>62</v>
      </c>
      <c r="D41" s="1">
        <v>2</v>
      </c>
      <c r="E41" s="1" t="s">
        <v>61</v>
      </c>
      <c r="F41" s="7">
        <v>2025</v>
      </c>
    </row>
    <row r="42" spans="1:6" x14ac:dyDescent="0.3">
      <c r="A42" s="6">
        <v>41</v>
      </c>
      <c r="B42" s="3">
        <v>45698</v>
      </c>
      <c r="C42" s="1" t="s">
        <v>62</v>
      </c>
      <c r="D42" s="1">
        <v>2</v>
      </c>
      <c r="E42" s="1" t="s">
        <v>61</v>
      </c>
      <c r="F42" s="7">
        <v>2025</v>
      </c>
    </row>
    <row r="43" spans="1:6" x14ac:dyDescent="0.3">
      <c r="A43" s="6">
        <v>42</v>
      </c>
      <c r="B43" s="3">
        <v>45699</v>
      </c>
      <c r="C43" s="1" t="s">
        <v>62</v>
      </c>
      <c r="D43" s="1">
        <v>2</v>
      </c>
      <c r="E43" s="1" t="s">
        <v>61</v>
      </c>
      <c r="F43" s="7">
        <v>2025</v>
      </c>
    </row>
    <row r="44" spans="1:6" x14ac:dyDescent="0.3">
      <c r="A44" s="6">
        <v>43</v>
      </c>
      <c r="B44" s="3">
        <v>45700</v>
      </c>
      <c r="C44" s="1" t="s">
        <v>62</v>
      </c>
      <c r="D44" s="1">
        <v>2</v>
      </c>
      <c r="E44" s="1" t="s">
        <v>61</v>
      </c>
      <c r="F44" s="7">
        <v>2025</v>
      </c>
    </row>
    <row r="45" spans="1:6" x14ac:dyDescent="0.3">
      <c r="A45" s="6">
        <v>44</v>
      </c>
      <c r="B45" s="3">
        <v>45701</v>
      </c>
      <c r="C45" s="1" t="s">
        <v>62</v>
      </c>
      <c r="D45" s="1">
        <v>2</v>
      </c>
      <c r="E45" s="1" t="s">
        <v>61</v>
      </c>
      <c r="F45" s="7">
        <v>2025</v>
      </c>
    </row>
    <row r="46" spans="1:6" x14ac:dyDescent="0.3">
      <c r="A46" s="6">
        <v>45</v>
      </c>
      <c r="B46" s="3">
        <v>45702</v>
      </c>
      <c r="C46" s="1" t="s">
        <v>62</v>
      </c>
      <c r="D46" s="1">
        <v>2</v>
      </c>
      <c r="E46" s="1" t="s">
        <v>61</v>
      </c>
      <c r="F46" s="7">
        <v>2025</v>
      </c>
    </row>
    <row r="47" spans="1:6" x14ac:dyDescent="0.3">
      <c r="A47" s="6">
        <v>46</v>
      </c>
      <c r="B47" s="3">
        <v>45703</v>
      </c>
      <c r="C47" s="1" t="s">
        <v>62</v>
      </c>
      <c r="D47" s="1">
        <v>2</v>
      </c>
      <c r="E47" s="1" t="s">
        <v>61</v>
      </c>
      <c r="F47" s="7">
        <v>2025</v>
      </c>
    </row>
    <row r="48" spans="1:6" x14ac:dyDescent="0.3">
      <c r="A48" s="6">
        <v>47</v>
      </c>
      <c r="B48" s="3">
        <v>45704</v>
      </c>
      <c r="C48" s="1" t="s">
        <v>62</v>
      </c>
      <c r="D48" s="1">
        <v>2</v>
      </c>
      <c r="E48" s="1" t="s">
        <v>61</v>
      </c>
      <c r="F48" s="7">
        <v>2025</v>
      </c>
    </row>
    <row r="49" spans="1:6" x14ac:dyDescent="0.3">
      <c r="A49" s="6">
        <v>48</v>
      </c>
      <c r="B49" s="3">
        <v>45705</v>
      </c>
      <c r="C49" s="1" t="s">
        <v>62</v>
      </c>
      <c r="D49" s="1">
        <v>2</v>
      </c>
      <c r="E49" s="1" t="s">
        <v>61</v>
      </c>
      <c r="F49" s="7">
        <v>2025</v>
      </c>
    </row>
    <row r="50" spans="1:6" x14ac:dyDescent="0.3">
      <c r="A50" s="6">
        <v>49</v>
      </c>
      <c r="B50" s="3">
        <v>45706</v>
      </c>
      <c r="C50" s="1" t="s">
        <v>62</v>
      </c>
      <c r="D50" s="1">
        <v>2</v>
      </c>
      <c r="E50" s="1" t="s">
        <v>61</v>
      </c>
      <c r="F50" s="7">
        <v>2025</v>
      </c>
    </row>
    <row r="51" spans="1:6" x14ac:dyDescent="0.3">
      <c r="A51" s="6">
        <v>50</v>
      </c>
      <c r="B51" s="3">
        <v>45707</v>
      </c>
      <c r="C51" s="1" t="s">
        <v>62</v>
      </c>
      <c r="D51" s="1">
        <v>2</v>
      </c>
      <c r="E51" s="1" t="s">
        <v>61</v>
      </c>
      <c r="F51" s="7">
        <v>2025</v>
      </c>
    </row>
    <row r="52" spans="1:6" x14ac:dyDescent="0.3">
      <c r="A52" s="6">
        <v>51</v>
      </c>
      <c r="B52" s="3">
        <v>45708</v>
      </c>
      <c r="C52" s="1" t="s">
        <v>62</v>
      </c>
      <c r="D52" s="1">
        <v>2</v>
      </c>
      <c r="E52" s="1" t="s">
        <v>61</v>
      </c>
      <c r="F52" s="7">
        <v>2025</v>
      </c>
    </row>
    <row r="53" spans="1:6" x14ac:dyDescent="0.3">
      <c r="A53" s="6">
        <v>52</v>
      </c>
      <c r="B53" s="3">
        <v>45709</v>
      </c>
      <c r="C53" s="1" t="s">
        <v>62</v>
      </c>
      <c r="D53" s="1">
        <v>2</v>
      </c>
      <c r="E53" s="1" t="s">
        <v>61</v>
      </c>
      <c r="F53" s="7">
        <v>2025</v>
      </c>
    </row>
    <row r="54" spans="1:6" x14ac:dyDescent="0.3">
      <c r="A54" s="6">
        <v>53</v>
      </c>
      <c r="B54" s="3">
        <v>45710</v>
      </c>
      <c r="C54" s="1" t="s">
        <v>62</v>
      </c>
      <c r="D54" s="1">
        <v>2</v>
      </c>
      <c r="E54" s="1" t="s">
        <v>61</v>
      </c>
      <c r="F54" s="7">
        <v>2025</v>
      </c>
    </row>
    <row r="55" spans="1:6" x14ac:dyDescent="0.3">
      <c r="A55" s="6">
        <v>54</v>
      </c>
      <c r="B55" s="3">
        <v>45711</v>
      </c>
      <c r="C55" s="1" t="s">
        <v>62</v>
      </c>
      <c r="D55" s="1">
        <v>2</v>
      </c>
      <c r="E55" s="1" t="s">
        <v>61</v>
      </c>
      <c r="F55" s="7">
        <v>2025</v>
      </c>
    </row>
    <row r="56" spans="1:6" x14ac:dyDescent="0.3">
      <c r="A56" s="6">
        <v>55</v>
      </c>
      <c r="B56" s="3">
        <v>45712</v>
      </c>
      <c r="C56" s="1" t="s">
        <v>62</v>
      </c>
      <c r="D56" s="1">
        <v>2</v>
      </c>
      <c r="E56" s="1" t="s">
        <v>61</v>
      </c>
      <c r="F56" s="7">
        <v>2025</v>
      </c>
    </row>
    <row r="57" spans="1:6" x14ac:dyDescent="0.3">
      <c r="A57" s="6">
        <v>56</v>
      </c>
      <c r="B57" s="3">
        <v>45713</v>
      </c>
      <c r="C57" s="1" t="s">
        <v>62</v>
      </c>
      <c r="D57" s="1">
        <v>2</v>
      </c>
      <c r="E57" s="1" t="s">
        <v>61</v>
      </c>
      <c r="F57" s="7">
        <v>2025</v>
      </c>
    </row>
    <row r="58" spans="1:6" x14ac:dyDescent="0.3">
      <c r="A58" s="6">
        <v>57</v>
      </c>
      <c r="B58" s="3">
        <v>45714</v>
      </c>
      <c r="C58" s="1" t="s">
        <v>62</v>
      </c>
      <c r="D58" s="1">
        <v>2</v>
      </c>
      <c r="E58" s="1" t="s">
        <v>61</v>
      </c>
      <c r="F58" s="7">
        <v>2025</v>
      </c>
    </row>
    <row r="59" spans="1:6" x14ac:dyDescent="0.3">
      <c r="A59" s="6">
        <v>58</v>
      </c>
      <c r="B59" s="3">
        <v>45715</v>
      </c>
      <c r="C59" s="1" t="s">
        <v>62</v>
      </c>
      <c r="D59" s="1">
        <v>2</v>
      </c>
      <c r="E59" s="1" t="s">
        <v>61</v>
      </c>
      <c r="F59" s="7">
        <v>2025</v>
      </c>
    </row>
    <row r="60" spans="1:6" x14ac:dyDescent="0.3">
      <c r="A60" s="6">
        <v>59</v>
      </c>
      <c r="B60" s="3">
        <v>45716</v>
      </c>
      <c r="C60" s="1" t="s">
        <v>62</v>
      </c>
      <c r="D60" s="1">
        <v>2</v>
      </c>
      <c r="E60" s="1" t="s">
        <v>61</v>
      </c>
      <c r="F60" s="7">
        <v>2025</v>
      </c>
    </row>
    <row r="61" spans="1:6" x14ac:dyDescent="0.3">
      <c r="A61" s="6">
        <v>60</v>
      </c>
      <c r="B61" s="3">
        <v>45717</v>
      </c>
      <c r="C61" s="1" t="s">
        <v>63</v>
      </c>
      <c r="D61" s="1">
        <v>3</v>
      </c>
      <c r="E61" s="1" t="s">
        <v>61</v>
      </c>
      <c r="F61" s="7">
        <v>2025</v>
      </c>
    </row>
    <row r="62" spans="1:6" x14ac:dyDescent="0.3">
      <c r="A62" s="6">
        <v>61</v>
      </c>
      <c r="B62" s="3">
        <v>45718</v>
      </c>
      <c r="C62" s="1" t="s">
        <v>63</v>
      </c>
      <c r="D62" s="1">
        <v>3</v>
      </c>
      <c r="E62" s="1" t="s">
        <v>61</v>
      </c>
      <c r="F62" s="7">
        <v>2025</v>
      </c>
    </row>
    <row r="63" spans="1:6" x14ac:dyDescent="0.3">
      <c r="A63" s="6">
        <v>62</v>
      </c>
      <c r="B63" s="3">
        <v>45719</v>
      </c>
      <c r="C63" s="1" t="s">
        <v>63</v>
      </c>
      <c r="D63" s="1">
        <v>3</v>
      </c>
      <c r="E63" s="1" t="s">
        <v>61</v>
      </c>
      <c r="F63" s="7">
        <v>2025</v>
      </c>
    </row>
    <row r="64" spans="1:6" x14ac:dyDescent="0.3">
      <c r="A64" s="6">
        <v>63</v>
      </c>
      <c r="B64" s="3">
        <v>45720</v>
      </c>
      <c r="C64" s="1" t="s">
        <v>63</v>
      </c>
      <c r="D64" s="1">
        <v>3</v>
      </c>
      <c r="E64" s="1" t="s">
        <v>61</v>
      </c>
      <c r="F64" s="7">
        <v>2025</v>
      </c>
    </row>
    <row r="65" spans="1:6" x14ac:dyDescent="0.3">
      <c r="A65" s="6">
        <v>64</v>
      </c>
      <c r="B65" s="3">
        <v>45721</v>
      </c>
      <c r="C65" s="1" t="s">
        <v>63</v>
      </c>
      <c r="D65" s="1">
        <v>3</v>
      </c>
      <c r="E65" s="1" t="s">
        <v>61</v>
      </c>
      <c r="F65" s="7">
        <v>2025</v>
      </c>
    </row>
    <row r="66" spans="1:6" x14ac:dyDescent="0.3">
      <c r="A66" s="6">
        <v>65</v>
      </c>
      <c r="B66" s="3">
        <v>45722</v>
      </c>
      <c r="C66" s="1" t="s">
        <v>63</v>
      </c>
      <c r="D66" s="1">
        <v>3</v>
      </c>
      <c r="E66" s="1" t="s">
        <v>61</v>
      </c>
      <c r="F66" s="7">
        <v>2025</v>
      </c>
    </row>
    <row r="67" spans="1:6" x14ac:dyDescent="0.3">
      <c r="A67" s="6">
        <v>66</v>
      </c>
      <c r="B67" s="3">
        <v>45723</v>
      </c>
      <c r="C67" s="1" t="s">
        <v>63</v>
      </c>
      <c r="D67" s="1">
        <v>3</v>
      </c>
      <c r="E67" s="1" t="s">
        <v>61</v>
      </c>
      <c r="F67" s="7">
        <v>2025</v>
      </c>
    </row>
    <row r="68" spans="1:6" x14ac:dyDescent="0.3">
      <c r="A68" s="6">
        <v>67</v>
      </c>
      <c r="B68" s="3">
        <v>45724</v>
      </c>
      <c r="C68" s="1" t="s">
        <v>63</v>
      </c>
      <c r="D68" s="1">
        <v>3</v>
      </c>
      <c r="E68" s="1" t="s">
        <v>61</v>
      </c>
      <c r="F68" s="7">
        <v>2025</v>
      </c>
    </row>
    <row r="69" spans="1:6" x14ac:dyDescent="0.3">
      <c r="A69" s="6">
        <v>68</v>
      </c>
      <c r="B69" s="3">
        <v>45725</v>
      </c>
      <c r="C69" s="1" t="s">
        <v>63</v>
      </c>
      <c r="D69" s="1">
        <v>3</v>
      </c>
      <c r="E69" s="1" t="s">
        <v>61</v>
      </c>
      <c r="F69" s="7">
        <v>2025</v>
      </c>
    </row>
    <row r="70" spans="1:6" x14ac:dyDescent="0.3">
      <c r="A70" s="6">
        <v>69</v>
      </c>
      <c r="B70" s="3">
        <v>45726</v>
      </c>
      <c r="C70" s="1" t="s">
        <v>63</v>
      </c>
      <c r="D70" s="1">
        <v>3</v>
      </c>
      <c r="E70" s="1" t="s">
        <v>61</v>
      </c>
      <c r="F70" s="7">
        <v>2025</v>
      </c>
    </row>
    <row r="71" spans="1:6" x14ac:dyDescent="0.3">
      <c r="A71" s="6">
        <v>70</v>
      </c>
      <c r="B71" s="3">
        <v>45727</v>
      </c>
      <c r="C71" s="1" t="s">
        <v>63</v>
      </c>
      <c r="D71" s="1">
        <v>3</v>
      </c>
      <c r="E71" s="1" t="s">
        <v>61</v>
      </c>
      <c r="F71" s="7">
        <v>2025</v>
      </c>
    </row>
    <row r="72" spans="1:6" x14ac:dyDescent="0.3">
      <c r="A72" s="6">
        <v>71</v>
      </c>
      <c r="B72" s="3">
        <v>45728</v>
      </c>
      <c r="C72" s="1" t="s">
        <v>63</v>
      </c>
      <c r="D72" s="1">
        <v>3</v>
      </c>
      <c r="E72" s="1" t="s">
        <v>61</v>
      </c>
      <c r="F72" s="7">
        <v>2025</v>
      </c>
    </row>
    <row r="73" spans="1:6" x14ac:dyDescent="0.3">
      <c r="A73" s="6">
        <v>72</v>
      </c>
      <c r="B73" s="3">
        <v>45729</v>
      </c>
      <c r="C73" s="1" t="s">
        <v>63</v>
      </c>
      <c r="D73" s="1">
        <v>3</v>
      </c>
      <c r="E73" s="1" t="s">
        <v>61</v>
      </c>
      <c r="F73" s="7">
        <v>2025</v>
      </c>
    </row>
    <row r="74" spans="1:6" x14ac:dyDescent="0.3">
      <c r="A74" s="6">
        <v>73</v>
      </c>
      <c r="B74" s="3">
        <v>45730</v>
      </c>
      <c r="C74" s="1" t="s">
        <v>63</v>
      </c>
      <c r="D74" s="1">
        <v>3</v>
      </c>
      <c r="E74" s="1" t="s">
        <v>61</v>
      </c>
      <c r="F74" s="7">
        <v>2025</v>
      </c>
    </row>
    <row r="75" spans="1:6" x14ac:dyDescent="0.3">
      <c r="A75" s="6">
        <v>74</v>
      </c>
      <c r="B75" s="3">
        <v>45731</v>
      </c>
      <c r="C75" s="1" t="s">
        <v>63</v>
      </c>
      <c r="D75" s="1">
        <v>3</v>
      </c>
      <c r="E75" s="1" t="s">
        <v>61</v>
      </c>
      <c r="F75" s="7">
        <v>2025</v>
      </c>
    </row>
    <row r="76" spans="1:6" x14ac:dyDescent="0.3">
      <c r="A76" s="6">
        <v>75</v>
      </c>
      <c r="B76" s="3">
        <v>45732</v>
      </c>
      <c r="C76" s="1" t="s">
        <v>63</v>
      </c>
      <c r="D76" s="1">
        <v>3</v>
      </c>
      <c r="E76" s="1" t="s">
        <v>61</v>
      </c>
      <c r="F76" s="7">
        <v>2025</v>
      </c>
    </row>
    <row r="77" spans="1:6" x14ac:dyDescent="0.3">
      <c r="A77" s="6">
        <v>76</v>
      </c>
      <c r="B77" s="3">
        <v>45733</v>
      </c>
      <c r="C77" s="1" t="s">
        <v>63</v>
      </c>
      <c r="D77" s="1">
        <v>3</v>
      </c>
      <c r="E77" s="1" t="s">
        <v>61</v>
      </c>
      <c r="F77" s="7">
        <v>2025</v>
      </c>
    </row>
    <row r="78" spans="1:6" x14ac:dyDescent="0.3">
      <c r="A78" s="6">
        <v>77</v>
      </c>
      <c r="B78" s="3">
        <v>45734</v>
      </c>
      <c r="C78" s="1" t="s">
        <v>63</v>
      </c>
      <c r="D78" s="1">
        <v>3</v>
      </c>
      <c r="E78" s="1" t="s">
        <v>61</v>
      </c>
      <c r="F78" s="7">
        <v>2025</v>
      </c>
    </row>
    <row r="79" spans="1:6" x14ac:dyDescent="0.3">
      <c r="A79" s="6">
        <v>78</v>
      </c>
      <c r="B79" s="3">
        <v>45735</v>
      </c>
      <c r="C79" s="1" t="s">
        <v>63</v>
      </c>
      <c r="D79" s="1">
        <v>3</v>
      </c>
      <c r="E79" s="1" t="s">
        <v>61</v>
      </c>
      <c r="F79" s="7">
        <v>2025</v>
      </c>
    </row>
    <row r="80" spans="1:6" x14ac:dyDescent="0.3">
      <c r="A80" s="6">
        <v>79</v>
      </c>
      <c r="B80" s="3">
        <v>45736</v>
      </c>
      <c r="C80" s="1" t="s">
        <v>63</v>
      </c>
      <c r="D80" s="1">
        <v>3</v>
      </c>
      <c r="E80" s="1" t="s">
        <v>61</v>
      </c>
      <c r="F80" s="7">
        <v>2025</v>
      </c>
    </row>
    <row r="81" spans="1:6" x14ac:dyDescent="0.3">
      <c r="A81" s="6">
        <v>80</v>
      </c>
      <c r="B81" s="3">
        <v>45737</v>
      </c>
      <c r="C81" s="1" t="s">
        <v>63</v>
      </c>
      <c r="D81" s="1">
        <v>3</v>
      </c>
      <c r="E81" s="1" t="s">
        <v>61</v>
      </c>
      <c r="F81" s="7">
        <v>2025</v>
      </c>
    </row>
    <row r="82" spans="1:6" x14ac:dyDescent="0.3">
      <c r="A82" s="6">
        <v>81</v>
      </c>
      <c r="B82" s="3">
        <v>45738</v>
      </c>
      <c r="C82" s="1" t="s">
        <v>63</v>
      </c>
      <c r="D82" s="1">
        <v>3</v>
      </c>
      <c r="E82" s="1" t="s">
        <v>61</v>
      </c>
      <c r="F82" s="7">
        <v>2025</v>
      </c>
    </row>
    <row r="83" spans="1:6" x14ac:dyDescent="0.3">
      <c r="A83" s="6">
        <v>82</v>
      </c>
      <c r="B83" s="3">
        <v>45739</v>
      </c>
      <c r="C83" s="1" t="s">
        <v>63</v>
      </c>
      <c r="D83" s="1">
        <v>3</v>
      </c>
      <c r="E83" s="1" t="s">
        <v>61</v>
      </c>
      <c r="F83" s="7">
        <v>2025</v>
      </c>
    </row>
    <row r="84" spans="1:6" x14ac:dyDescent="0.3">
      <c r="A84" s="6">
        <v>83</v>
      </c>
      <c r="B84" s="3">
        <v>45740</v>
      </c>
      <c r="C84" s="1" t="s">
        <v>63</v>
      </c>
      <c r="D84" s="1">
        <v>3</v>
      </c>
      <c r="E84" s="1" t="s">
        <v>61</v>
      </c>
      <c r="F84" s="7">
        <v>2025</v>
      </c>
    </row>
    <row r="85" spans="1:6" x14ac:dyDescent="0.3">
      <c r="A85" s="6">
        <v>84</v>
      </c>
      <c r="B85" s="3">
        <v>45741</v>
      </c>
      <c r="C85" s="1" t="s">
        <v>63</v>
      </c>
      <c r="D85" s="1">
        <v>3</v>
      </c>
      <c r="E85" s="1" t="s">
        <v>61</v>
      </c>
      <c r="F85" s="7">
        <v>2025</v>
      </c>
    </row>
    <row r="86" spans="1:6" x14ac:dyDescent="0.3">
      <c r="A86" s="6">
        <v>85</v>
      </c>
      <c r="B86" s="3">
        <v>45742</v>
      </c>
      <c r="C86" s="1" t="s">
        <v>63</v>
      </c>
      <c r="D86" s="1">
        <v>3</v>
      </c>
      <c r="E86" s="1" t="s">
        <v>61</v>
      </c>
      <c r="F86" s="7">
        <v>2025</v>
      </c>
    </row>
    <row r="87" spans="1:6" x14ac:dyDescent="0.3">
      <c r="A87" s="6">
        <v>86</v>
      </c>
      <c r="B87" s="3">
        <v>45743</v>
      </c>
      <c r="C87" s="1" t="s">
        <v>63</v>
      </c>
      <c r="D87" s="1">
        <v>3</v>
      </c>
      <c r="E87" s="1" t="s">
        <v>61</v>
      </c>
      <c r="F87" s="7">
        <v>2025</v>
      </c>
    </row>
    <row r="88" spans="1:6" x14ac:dyDescent="0.3">
      <c r="A88" s="6">
        <v>87</v>
      </c>
      <c r="B88" s="3">
        <v>45744</v>
      </c>
      <c r="C88" s="1" t="s">
        <v>63</v>
      </c>
      <c r="D88" s="1">
        <v>3</v>
      </c>
      <c r="E88" s="1" t="s">
        <v>61</v>
      </c>
      <c r="F88" s="7">
        <v>2025</v>
      </c>
    </row>
    <row r="89" spans="1:6" x14ac:dyDescent="0.3">
      <c r="A89" s="6">
        <v>88</v>
      </c>
      <c r="B89" s="3">
        <v>45745</v>
      </c>
      <c r="C89" s="1" t="s">
        <v>63</v>
      </c>
      <c r="D89" s="1">
        <v>3</v>
      </c>
      <c r="E89" s="1" t="s">
        <v>61</v>
      </c>
      <c r="F89" s="7">
        <v>2025</v>
      </c>
    </row>
    <row r="90" spans="1:6" x14ac:dyDescent="0.3">
      <c r="A90" s="6">
        <v>89</v>
      </c>
      <c r="B90" s="3">
        <v>45746</v>
      </c>
      <c r="C90" s="1" t="s">
        <v>63</v>
      </c>
      <c r="D90" s="1">
        <v>3</v>
      </c>
      <c r="E90" s="1" t="s">
        <v>61</v>
      </c>
      <c r="F90" s="7">
        <v>2025</v>
      </c>
    </row>
    <row r="91" spans="1:6" x14ac:dyDescent="0.3">
      <c r="A91" s="6">
        <v>90</v>
      </c>
      <c r="B91" s="3">
        <v>45747</v>
      </c>
      <c r="C91" s="1" t="s">
        <v>63</v>
      </c>
      <c r="D91" s="1">
        <v>3</v>
      </c>
      <c r="E91" s="1" t="s">
        <v>61</v>
      </c>
      <c r="F91" s="7">
        <v>2025</v>
      </c>
    </row>
    <row r="92" spans="1:6" x14ac:dyDescent="0.3">
      <c r="A92" s="6">
        <v>91</v>
      </c>
      <c r="B92" s="3">
        <v>45748</v>
      </c>
      <c r="C92" s="1" t="s">
        <v>64</v>
      </c>
      <c r="D92" s="1">
        <v>4</v>
      </c>
      <c r="E92" s="1" t="s">
        <v>65</v>
      </c>
      <c r="F92" s="7">
        <v>2025</v>
      </c>
    </row>
    <row r="93" spans="1:6" x14ac:dyDescent="0.3">
      <c r="A93" s="6">
        <v>92</v>
      </c>
      <c r="B93" s="3">
        <v>45749</v>
      </c>
      <c r="C93" s="1" t="s">
        <v>64</v>
      </c>
      <c r="D93" s="1">
        <v>4</v>
      </c>
      <c r="E93" s="1" t="s">
        <v>65</v>
      </c>
      <c r="F93" s="7">
        <v>2025</v>
      </c>
    </row>
    <row r="94" spans="1:6" x14ac:dyDescent="0.3">
      <c r="A94" s="6">
        <v>93</v>
      </c>
      <c r="B94" s="3">
        <v>45750</v>
      </c>
      <c r="C94" s="1" t="s">
        <v>64</v>
      </c>
      <c r="D94" s="1">
        <v>4</v>
      </c>
      <c r="E94" s="1" t="s">
        <v>65</v>
      </c>
      <c r="F94" s="7">
        <v>2025</v>
      </c>
    </row>
    <row r="95" spans="1:6" x14ac:dyDescent="0.3">
      <c r="A95" s="6">
        <v>94</v>
      </c>
      <c r="B95" s="3">
        <v>45751</v>
      </c>
      <c r="C95" s="1" t="s">
        <v>64</v>
      </c>
      <c r="D95" s="1">
        <v>4</v>
      </c>
      <c r="E95" s="1" t="s">
        <v>65</v>
      </c>
      <c r="F95" s="7">
        <v>2025</v>
      </c>
    </row>
    <row r="96" spans="1:6" x14ac:dyDescent="0.3">
      <c r="A96" s="6">
        <v>95</v>
      </c>
      <c r="B96" s="3">
        <v>45752</v>
      </c>
      <c r="C96" s="1" t="s">
        <v>64</v>
      </c>
      <c r="D96" s="1">
        <v>4</v>
      </c>
      <c r="E96" s="1" t="s">
        <v>65</v>
      </c>
      <c r="F96" s="7">
        <v>2025</v>
      </c>
    </row>
    <row r="97" spans="1:6" x14ac:dyDescent="0.3">
      <c r="A97" s="6">
        <v>96</v>
      </c>
      <c r="B97" s="3">
        <v>45753</v>
      </c>
      <c r="C97" s="1" t="s">
        <v>64</v>
      </c>
      <c r="D97" s="1">
        <v>4</v>
      </c>
      <c r="E97" s="1" t="s">
        <v>65</v>
      </c>
      <c r="F97" s="7">
        <v>2025</v>
      </c>
    </row>
    <row r="98" spans="1:6" x14ac:dyDescent="0.3">
      <c r="A98" s="6">
        <v>97</v>
      </c>
      <c r="B98" s="3">
        <v>45754</v>
      </c>
      <c r="C98" s="1" t="s">
        <v>64</v>
      </c>
      <c r="D98" s="1">
        <v>4</v>
      </c>
      <c r="E98" s="1" t="s">
        <v>65</v>
      </c>
      <c r="F98" s="7">
        <v>2025</v>
      </c>
    </row>
    <row r="99" spans="1:6" x14ac:dyDescent="0.3">
      <c r="A99" s="6">
        <v>98</v>
      </c>
      <c r="B99" s="3">
        <v>45755</v>
      </c>
      <c r="C99" s="1" t="s">
        <v>64</v>
      </c>
      <c r="D99" s="1">
        <v>4</v>
      </c>
      <c r="E99" s="1" t="s">
        <v>65</v>
      </c>
      <c r="F99" s="7">
        <v>2025</v>
      </c>
    </row>
    <row r="100" spans="1:6" x14ac:dyDescent="0.3">
      <c r="A100" s="6">
        <v>99</v>
      </c>
      <c r="B100" s="3">
        <v>45756</v>
      </c>
      <c r="C100" s="1" t="s">
        <v>64</v>
      </c>
      <c r="D100" s="1">
        <v>4</v>
      </c>
      <c r="E100" s="1" t="s">
        <v>65</v>
      </c>
      <c r="F100" s="7">
        <v>2025</v>
      </c>
    </row>
    <row r="101" spans="1:6" x14ac:dyDescent="0.3">
      <c r="A101" s="6">
        <v>100</v>
      </c>
      <c r="B101" s="3">
        <v>45757</v>
      </c>
      <c r="C101" s="1" t="s">
        <v>64</v>
      </c>
      <c r="D101" s="1">
        <v>4</v>
      </c>
      <c r="E101" s="1" t="s">
        <v>65</v>
      </c>
      <c r="F101" s="7">
        <v>2025</v>
      </c>
    </row>
    <row r="102" spans="1:6" x14ac:dyDescent="0.3">
      <c r="A102" s="6">
        <v>101</v>
      </c>
      <c r="B102" s="3">
        <v>45758</v>
      </c>
      <c r="C102" s="1" t="s">
        <v>64</v>
      </c>
      <c r="D102" s="1">
        <v>4</v>
      </c>
      <c r="E102" s="1" t="s">
        <v>65</v>
      </c>
      <c r="F102" s="7">
        <v>2025</v>
      </c>
    </row>
    <row r="103" spans="1:6" x14ac:dyDescent="0.3">
      <c r="A103" s="6">
        <v>102</v>
      </c>
      <c r="B103" s="3">
        <v>45759</v>
      </c>
      <c r="C103" s="1" t="s">
        <v>64</v>
      </c>
      <c r="D103" s="1">
        <v>4</v>
      </c>
      <c r="E103" s="1" t="s">
        <v>65</v>
      </c>
      <c r="F103" s="7">
        <v>2025</v>
      </c>
    </row>
    <row r="104" spans="1:6" x14ac:dyDescent="0.3">
      <c r="A104" s="6">
        <v>103</v>
      </c>
      <c r="B104" s="3">
        <v>45760</v>
      </c>
      <c r="C104" s="1" t="s">
        <v>64</v>
      </c>
      <c r="D104" s="1">
        <v>4</v>
      </c>
      <c r="E104" s="1" t="s">
        <v>65</v>
      </c>
      <c r="F104" s="7">
        <v>2025</v>
      </c>
    </row>
    <row r="105" spans="1:6" x14ac:dyDescent="0.3">
      <c r="A105" s="6">
        <v>104</v>
      </c>
      <c r="B105" s="3">
        <v>45761</v>
      </c>
      <c r="C105" s="1" t="s">
        <v>64</v>
      </c>
      <c r="D105" s="1">
        <v>4</v>
      </c>
      <c r="E105" s="1" t="s">
        <v>65</v>
      </c>
      <c r="F105" s="7">
        <v>2025</v>
      </c>
    </row>
    <row r="106" spans="1:6" x14ac:dyDescent="0.3">
      <c r="A106" s="6">
        <v>105</v>
      </c>
      <c r="B106" s="3">
        <v>45762</v>
      </c>
      <c r="C106" s="1" t="s">
        <v>64</v>
      </c>
      <c r="D106" s="1">
        <v>4</v>
      </c>
      <c r="E106" s="1" t="s">
        <v>65</v>
      </c>
      <c r="F106" s="7">
        <v>2025</v>
      </c>
    </row>
    <row r="107" spans="1:6" x14ac:dyDescent="0.3">
      <c r="A107" s="6">
        <v>106</v>
      </c>
      <c r="B107" s="3">
        <v>45763</v>
      </c>
      <c r="C107" s="1" t="s">
        <v>64</v>
      </c>
      <c r="D107" s="1">
        <v>4</v>
      </c>
      <c r="E107" s="1" t="s">
        <v>65</v>
      </c>
      <c r="F107" s="7">
        <v>2025</v>
      </c>
    </row>
    <row r="108" spans="1:6" x14ac:dyDescent="0.3">
      <c r="A108" s="6">
        <v>107</v>
      </c>
      <c r="B108" s="3">
        <v>45764</v>
      </c>
      <c r="C108" s="1" t="s">
        <v>64</v>
      </c>
      <c r="D108" s="1">
        <v>4</v>
      </c>
      <c r="E108" s="1" t="s">
        <v>65</v>
      </c>
      <c r="F108" s="7">
        <v>2025</v>
      </c>
    </row>
    <row r="109" spans="1:6" x14ac:dyDescent="0.3">
      <c r="A109" s="6">
        <v>108</v>
      </c>
      <c r="B109" s="3">
        <v>45765</v>
      </c>
      <c r="C109" s="1" t="s">
        <v>64</v>
      </c>
      <c r="D109" s="1">
        <v>4</v>
      </c>
      <c r="E109" s="1" t="s">
        <v>65</v>
      </c>
      <c r="F109" s="7">
        <v>2025</v>
      </c>
    </row>
    <row r="110" spans="1:6" x14ac:dyDescent="0.3">
      <c r="A110" s="6">
        <v>109</v>
      </c>
      <c r="B110" s="3">
        <v>45766</v>
      </c>
      <c r="C110" s="1" t="s">
        <v>64</v>
      </c>
      <c r="D110" s="1">
        <v>4</v>
      </c>
      <c r="E110" s="1" t="s">
        <v>65</v>
      </c>
      <c r="F110" s="7">
        <v>2025</v>
      </c>
    </row>
    <row r="111" spans="1:6" x14ac:dyDescent="0.3">
      <c r="A111" s="6">
        <v>110</v>
      </c>
      <c r="B111" s="3">
        <v>45767</v>
      </c>
      <c r="C111" s="1" t="s">
        <v>64</v>
      </c>
      <c r="D111" s="1">
        <v>4</v>
      </c>
      <c r="E111" s="1" t="s">
        <v>65</v>
      </c>
      <c r="F111" s="7">
        <v>2025</v>
      </c>
    </row>
    <row r="112" spans="1:6" x14ac:dyDescent="0.3">
      <c r="A112" s="6">
        <v>111</v>
      </c>
      <c r="B112" s="3">
        <v>45768</v>
      </c>
      <c r="C112" s="1" t="s">
        <v>64</v>
      </c>
      <c r="D112" s="1">
        <v>4</v>
      </c>
      <c r="E112" s="1" t="s">
        <v>65</v>
      </c>
      <c r="F112" s="7">
        <v>2025</v>
      </c>
    </row>
    <row r="113" spans="1:6" x14ac:dyDescent="0.3">
      <c r="A113" s="6">
        <v>112</v>
      </c>
      <c r="B113" s="3">
        <v>45769</v>
      </c>
      <c r="C113" s="1" t="s">
        <v>64</v>
      </c>
      <c r="D113" s="1">
        <v>4</v>
      </c>
      <c r="E113" s="1" t="s">
        <v>65</v>
      </c>
      <c r="F113" s="7">
        <v>2025</v>
      </c>
    </row>
    <row r="114" spans="1:6" x14ac:dyDescent="0.3">
      <c r="A114" s="6">
        <v>113</v>
      </c>
      <c r="B114" s="3">
        <v>45770</v>
      </c>
      <c r="C114" s="1" t="s">
        <v>64</v>
      </c>
      <c r="D114" s="1">
        <v>4</v>
      </c>
      <c r="E114" s="1" t="s">
        <v>65</v>
      </c>
      <c r="F114" s="7">
        <v>2025</v>
      </c>
    </row>
    <row r="115" spans="1:6" x14ac:dyDescent="0.3">
      <c r="A115" s="6">
        <v>114</v>
      </c>
      <c r="B115" s="3">
        <v>45771</v>
      </c>
      <c r="C115" s="1" t="s">
        <v>64</v>
      </c>
      <c r="D115" s="1">
        <v>4</v>
      </c>
      <c r="E115" s="1" t="s">
        <v>65</v>
      </c>
      <c r="F115" s="7">
        <v>2025</v>
      </c>
    </row>
    <row r="116" spans="1:6" x14ac:dyDescent="0.3">
      <c r="A116" s="6">
        <v>115</v>
      </c>
      <c r="B116" s="3">
        <v>45772</v>
      </c>
      <c r="C116" s="1" t="s">
        <v>64</v>
      </c>
      <c r="D116" s="1">
        <v>4</v>
      </c>
      <c r="E116" s="1" t="s">
        <v>65</v>
      </c>
      <c r="F116" s="7">
        <v>2025</v>
      </c>
    </row>
    <row r="117" spans="1:6" x14ac:dyDescent="0.3">
      <c r="A117" s="6">
        <v>116</v>
      </c>
      <c r="B117" s="3">
        <v>45773</v>
      </c>
      <c r="C117" s="1" t="s">
        <v>64</v>
      </c>
      <c r="D117" s="1">
        <v>4</v>
      </c>
      <c r="E117" s="1" t="s">
        <v>65</v>
      </c>
      <c r="F117" s="7">
        <v>2025</v>
      </c>
    </row>
    <row r="118" spans="1:6" x14ac:dyDescent="0.3">
      <c r="A118" s="6">
        <v>117</v>
      </c>
      <c r="B118" s="3">
        <v>45774</v>
      </c>
      <c r="C118" s="1" t="s">
        <v>64</v>
      </c>
      <c r="D118" s="1">
        <v>4</v>
      </c>
      <c r="E118" s="1" t="s">
        <v>65</v>
      </c>
      <c r="F118" s="7">
        <v>2025</v>
      </c>
    </row>
    <row r="119" spans="1:6" x14ac:dyDescent="0.3">
      <c r="A119" s="6">
        <v>118</v>
      </c>
      <c r="B119" s="3">
        <v>45775</v>
      </c>
      <c r="C119" s="1" t="s">
        <v>64</v>
      </c>
      <c r="D119" s="1">
        <v>4</v>
      </c>
      <c r="E119" s="1" t="s">
        <v>65</v>
      </c>
      <c r="F119" s="7">
        <v>2025</v>
      </c>
    </row>
    <row r="120" spans="1:6" x14ac:dyDescent="0.3">
      <c r="A120" s="6">
        <v>119</v>
      </c>
      <c r="B120" s="3">
        <v>45776</v>
      </c>
      <c r="C120" s="1" t="s">
        <v>64</v>
      </c>
      <c r="D120" s="1">
        <v>4</v>
      </c>
      <c r="E120" s="1" t="s">
        <v>65</v>
      </c>
      <c r="F120" s="7">
        <v>2025</v>
      </c>
    </row>
    <row r="121" spans="1:6" x14ac:dyDescent="0.3">
      <c r="A121" s="6">
        <v>120</v>
      </c>
      <c r="B121" s="3">
        <v>45777</v>
      </c>
      <c r="C121" s="1" t="s">
        <v>64</v>
      </c>
      <c r="D121" s="1">
        <v>4</v>
      </c>
      <c r="E121" s="1" t="s">
        <v>65</v>
      </c>
      <c r="F121" s="7">
        <v>2025</v>
      </c>
    </row>
    <row r="122" spans="1:6" x14ac:dyDescent="0.3">
      <c r="A122" s="6">
        <v>121</v>
      </c>
      <c r="B122" s="3">
        <v>45778</v>
      </c>
      <c r="C122" s="1" t="s">
        <v>66</v>
      </c>
      <c r="D122" s="1">
        <v>5</v>
      </c>
      <c r="E122" s="1" t="s">
        <v>65</v>
      </c>
      <c r="F122" s="7">
        <v>2025</v>
      </c>
    </row>
    <row r="123" spans="1:6" x14ac:dyDescent="0.3">
      <c r="A123" s="6">
        <v>122</v>
      </c>
      <c r="B123" s="3">
        <v>45779</v>
      </c>
      <c r="C123" s="1" t="s">
        <v>66</v>
      </c>
      <c r="D123" s="1">
        <v>5</v>
      </c>
      <c r="E123" s="1" t="s">
        <v>65</v>
      </c>
      <c r="F123" s="7">
        <v>2025</v>
      </c>
    </row>
    <row r="124" spans="1:6" x14ac:dyDescent="0.3">
      <c r="A124" s="6">
        <v>123</v>
      </c>
      <c r="B124" s="3">
        <v>45780</v>
      </c>
      <c r="C124" s="1" t="s">
        <v>66</v>
      </c>
      <c r="D124" s="1">
        <v>5</v>
      </c>
      <c r="E124" s="1" t="s">
        <v>65</v>
      </c>
      <c r="F124" s="7">
        <v>2025</v>
      </c>
    </row>
    <row r="125" spans="1:6" x14ac:dyDescent="0.3">
      <c r="A125" s="6">
        <v>124</v>
      </c>
      <c r="B125" s="3">
        <v>45781</v>
      </c>
      <c r="C125" s="1" t="s">
        <v>66</v>
      </c>
      <c r="D125" s="1">
        <v>5</v>
      </c>
      <c r="E125" s="1" t="s">
        <v>65</v>
      </c>
      <c r="F125" s="7">
        <v>2025</v>
      </c>
    </row>
    <row r="126" spans="1:6" x14ac:dyDescent="0.3">
      <c r="A126" s="6">
        <v>125</v>
      </c>
      <c r="B126" s="3">
        <v>45782</v>
      </c>
      <c r="C126" s="1" t="s">
        <v>66</v>
      </c>
      <c r="D126" s="1">
        <v>5</v>
      </c>
      <c r="E126" s="1" t="s">
        <v>65</v>
      </c>
      <c r="F126" s="7">
        <v>2025</v>
      </c>
    </row>
    <row r="127" spans="1:6" x14ac:dyDescent="0.3">
      <c r="A127" s="6">
        <v>126</v>
      </c>
      <c r="B127" s="3">
        <v>45783</v>
      </c>
      <c r="C127" s="1" t="s">
        <v>66</v>
      </c>
      <c r="D127" s="1">
        <v>5</v>
      </c>
      <c r="E127" s="1" t="s">
        <v>65</v>
      </c>
      <c r="F127" s="7">
        <v>2025</v>
      </c>
    </row>
    <row r="128" spans="1:6" x14ac:dyDescent="0.3">
      <c r="A128" s="6">
        <v>127</v>
      </c>
      <c r="B128" s="3">
        <v>45784</v>
      </c>
      <c r="C128" s="1" t="s">
        <v>66</v>
      </c>
      <c r="D128" s="1">
        <v>5</v>
      </c>
      <c r="E128" s="1" t="s">
        <v>65</v>
      </c>
      <c r="F128" s="7">
        <v>2025</v>
      </c>
    </row>
    <row r="129" spans="1:6" x14ac:dyDescent="0.3">
      <c r="A129" s="6">
        <v>128</v>
      </c>
      <c r="B129" s="3">
        <v>45785</v>
      </c>
      <c r="C129" s="1" t="s">
        <v>66</v>
      </c>
      <c r="D129" s="1">
        <v>5</v>
      </c>
      <c r="E129" s="1" t="s">
        <v>65</v>
      </c>
      <c r="F129" s="7">
        <v>2025</v>
      </c>
    </row>
    <row r="130" spans="1:6" x14ac:dyDescent="0.3">
      <c r="A130" s="6">
        <v>129</v>
      </c>
      <c r="B130" s="3">
        <v>45786</v>
      </c>
      <c r="C130" s="1" t="s">
        <v>66</v>
      </c>
      <c r="D130" s="1">
        <v>5</v>
      </c>
      <c r="E130" s="1" t="s">
        <v>65</v>
      </c>
      <c r="F130" s="7">
        <v>2025</v>
      </c>
    </row>
    <row r="131" spans="1:6" x14ac:dyDescent="0.3">
      <c r="A131" s="6">
        <v>130</v>
      </c>
      <c r="B131" s="3">
        <v>45787</v>
      </c>
      <c r="C131" s="1" t="s">
        <v>66</v>
      </c>
      <c r="D131" s="1">
        <v>5</v>
      </c>
      <c r="E131" s="1" t="s">
        <v>65</v>
      </c>
      <c r="F131" s="7">
        <v>2025</v>
      </c>
    </row>
    <row r="132" spans="1:6" x14ac:dyDescent="0.3">
      <c r="A132" s="6">
        <v>131</v>
      </c>
      <c r="B132" s="3">
        <v>45788</v>
      </c>
      <c r="C132" s="1" t="s">
        <v>66</v>
      </c>
      <c r="D132" s="1">
        <v>5</v>
      </c>
      <c r="E132" s="1" t="s">
        <v>65</v>
      </c>
      <c r="F132" s="7">
        <v>2025</v>
      </c>
    </row>
    <row r="133" spans="1:6" x14ac:dyDescent="0.3">
      <c r="A133" s="6">
        <v>132</v>
      </c>
      <c r="B133" s="3">
        <v>45789</v>
      </c>
      <c r="C133" s="1" t="s">
        <v>66</v>
      </c>
      <c r="D133" s="1">
        <v>5</v>
      </c>
      <c r="E133" s="1" t="s">
        <v>65</v>
      </c>
      <c r="F133" s="7">
        <v>2025</v>
      </c>
    </row>
    <row r="134" spans="1:6" x14ac:dyDescent="0.3">
      <c r="A134" s="6">
        <v>133</v>
      </c>
      <c r="B134" s="3">
        <v>45790</v>
      </c>
      <c r="C134" s="1" t="s">
        <v>66</v>
      </c>
      <c r="D134" s="1">
        <v>5</v>
      </c>
      <c r="E134" s="1" t="s">
        <v>65</v>
      </c>
      <c r="F134" s="7">
        <v>2025</v>
      </c>
    </row>
    <row r="135" spans="1:6" x14ac:dyDescent="0.3">
      <c r="A135" s="6">
        <v>134</v>
      </c>
      <c r="B135" s="3">
        <v>45791</v>
      </c>
      <c r="C135" s="1" t="s">
        <v>66</v>
      </c>
      <c r="D135" s="1">
        <v>5</v>
      </c>
      <c r="E135" s="1" t="s">
        <v>65</v>
      </c>
      <c r="F135" s="7">
        <v>2025</v>
      </c>
    </row>
    <row r="136" spans="1:6" x14ac:dyDescent="0.3">
      <c r="A136" s="6">
        <v>135</v>
      </c>
      <c r="B136" s="3">
        <v>45792</v>
      </c>
      <c r="C136" s="1" t="s">
        <v>66</v>
      </c>
      <c r="D136" s="1">
        <v>5</v>
      </c>
      <c r="E136" s="1" t="s">
        <v>65</v>
      </c>
      <c r="F136" s="7">
        <v>2025</v>
      </c>
    </row>
    <row r="137" spans="1:6" x14ac:dyDescent="0.3">
      <c r="A137" s="6">
        <v>136</v>
      </c>
      <c r="B137" s="3">
        <v>45793</v>
      </c>
      <c r="C137" s="1" t="s">
        <v>66</v>
      </c>
      <c r="D137" s="1">
        <v>5</v>
      </c>
      <c r="E137" s="1" t="s">
        <v>65</v>
      </c>
      <c r="F137" s="7">
        <v>2025</v>
      </c>
    </row>
    <row r="138" spans="1:6" x14ac:dyDescent="0.3">
      <c r="A138" s="6">
        <v>137</v>
      </c>
      <c r="B138" s="3">
        <v>45794</v>
      </c>
      <c r="C138" s="1" t="s">
        <v>66</v>
      </c>
      <c r="D138" s="1">
        <v>5</v>
      </c>
      <c r="E138" s="1" t="s">
        <v>65</v>
      </c>
      <c r="F138" s="7">
        <v>2025</v>
      </c>
    </row>
    <row r="139" spans="1:6" x14ac:dyDescent="0.3">
      <c r="A139" s="6">
        <v>138</v>
      </c>
      <c r="B139" s="3">
        <v>45795</v>
      </c>
      <c r="C139" s="1" t="s">
        <v>66</v>
      </c>
      <c r="D139" s="1">
        <v>5</v>
      </c>
      <c r="E139" s="1" t="s">
        <v>65</v>
      </c>
      <c r="F139" s="7">
        <v>2025</v>
      </c>
    </row>
    <row r="140" spans="1:6" x14ac:dyDescent="0.3">
      <c r="A140" s="6">
        <v>139</v>
      </c>
      <c r="B140" s="3">
        <v>45796</v>
      </c>
      <c r="C140" s="1" t="s">
        <v>66</v>
      </c>
      <c r="D140" s="1">
        <v>5</v>
      </c>
      <c r="E140" s="1" t="s">
        <v>65</v>
      </c>
      <c r="F140" s="7">
        <v>2025</v>
      </c>
    </row>
    <row r="141" spans="1:6" x14ac:dyDescent="0.3">
      <c r="A141" s="6">
        <v>140</v>
      </c>
      <c r="B141" s="3">
        <v>45797</v>
      </c>
      <c r="C141" s="1" t="s">
        <v>66</v>
      </c>
      <c r="D141" s="1">
        <v>5</v>
      </c>
      <c r="E141" s="1" t="s">
        <v>65</v>
      </c>
      <c r="F141" s="7">
        <v>2025</v>
      </c>
    </row>
    <row r="142" spans="1:6" x14ac:dyDescent="0.3">
      <c r="A142" s="6">
        <v>141</v>
      </c>
      <c r="B142" s="3">
        <v>45798</v>
      </c>
      <c r="C142" s="1" t="s">
        <v>66</v>
      </c>
      <c r="D142" s="1">
        <v>5</v>
      </c>
      <c r="E142" s="1" t="s">
        <v>65</v>
      </c>
      <c r="F142" s="7">
        <v>2025</v>
      </c>
    </row>
    <row r="143" spans="1:6" x14ac:dyDescent="0.3">
      <c r="A143" s="6">
        <v>142</v>
      </c>
      <c r="B143" s="3">
        <v>45799</v>
      </c>
      <c r="C143" s="1" t="s">
        <v>66</v>
      </c>
      <c r="D143" s="1">
        <v>5</v>
      </c>
      <c r="E143" s="1" t="s">
        <v>65</v>
      </c>
      <c r="F143" s="7">
        <v>2025</v>
      </c>
    </row>
    <row r="144" spans="1:6" x14ac:dyDescent="0.3">
      <c r="A144" s="6">
        <v>143</v>
      </c>
      <c r="B144" s="3">
        <v>45800</v>
      </c>
      <c r="C144" s="1" t="s">
        <v>66</v>
      </c>
      <c r="D144" s="1">
        <v>5</v>
      </c>
      <c r="E144" s="1" t="s">
        <v>65</v>
      </c>
      <c r="F144" s="7">
        <v>2025</v>
      </c>
    </row>
    <row r="145" spans="1:6" x14ac:dyDescent="0.3">
      <c r="A145" s="6">
        <v>144</v>
      </c>
      <c r="B145" s="3">
        <v>45801</v>
      </c>
      <c r="C145" s="1" t="s">
        <v>66</v>
      </c>
      <c r="D145" s="1">
        <v>5</v>
      </c>
      <c r="E145" s="1" t="s">
        <v>65</v>
      </c>
      <c r="F145" s="7">
        <v>2025</v>
      </c>
    </row>
    <row r="146" spans="1:6" x14ac:dyDescent="0.3">
      <c r="A146" s="6">
        <v>145</v>
      </c>
      <c r="B146" s="3">
        <v>45802</v>
      </c>
      <c r="C146" s="1" t="s">
        <v>66</v>
      </c>
      <c r="D146" s="1">
        <v>5</v>
      </c>
      <c r="E146" s="1" t="s">
        <v>65</v>
      </c>
      <c r="F146" s="7">
        <v>2025</v>
      </c>
    </row>
    <row r="147" spans="1:6" x14ac:dyDescent="0.3">
      <c r="A147" s="6">
        <v>146</v>
      </c>
      <c r="B147" s="3">
        <v>45803</v>
      </c>
      <c r="C147" s="1" t="s">
        <v>66</v>
      </c>
      <c r="D147" s="1">
        <v>5</v>
      </c>
      <c r="E147" s="1" t="s">
        <v>65</v>
      </c>
      <c r="F147" s="7">
        <v>2025</v>
      </c>
    </row>
    <row r="148" spans="1:6" x14ac:dyDescent="0.3">
      <c r="A148" s="6">
        <v>147</v>
      </c>
      <c r="B148" s="3">
        <v>45804</v>
      </c>
      <c r="C148" s="1" t="s">
        <v>66</v>
      </c>
      <c r="D148" s="1">
        <v>5</v>
      </c>
      <c r="E148" s="1" t="s">
        <v>65</v>
      </c>
      <c r="F148" s="7">
        <v>2025</v>
      </c>
    </row>
    <row r="149" spans="1:6" x14ac:dyDescent="0.3">
      <c r="A149" s="6">
        <v>148</v>
      </c>
      <c r="B149" s="3">
        <v>45805</v>
      </c>
      <c r="C149" s="1" t="s">
        <v>66</v>
      </c>
      <c r="D149" s="1">
        <v>5</v>
      </c>
      <c r="E149" s="1" t="s">
        <v>65</v>
      </c>
      <c r="F149" s="7">
        <v>2025</v>
      </c>
    </row>
    <row r="150" spans="1:6" x14ac:dyDescent="0.3">
      <c r="A150" s="6">
        <v>149</v>
      </c>
      <c r="B150" s="3">
        <v>45806</v>
      </c>
      <c r="C150" s="1" t="s">
        <v>66</v>
      </c>
      <c r="D150" s="1">
        <v>5</v>
      </c>
      <c r="E150" s="1" t="s">
        <v>65</v>
      </c>
      <c r="F150" s="7">
        <v>2025</v>
      </c>
    </row>
    <row r="151" spans="1:6" x14ac:dyDescent="0.3">
      <c r="A151" s="6">
        <v>150</v>
      </c>
      <c r="B151" s="3">
        <v>45807</v>
      </c>
      <c r="C151" s="1" t="s">
        <v>66</v>
      </c>
      <c r="D151" s="1">
        <v>5</v>
      </c>
      <c r="E151" s="1" t="s">
        <v>65</v>
      </c>
      <c r="F151" s="7">
        <v>2025</v>
      </c>
    </row>
    <row r="152" spans="1:6" x14ac:dyDescent="0.3">
      <c r="A152" s="6">
        <v>151</v>
      </c>
      <c r="B152" s="3">
        <v>45808</v>
      </c>
      <c r="C152" s="1" t="s">
        <v>66</v>
      </c>
      <c r="D152" s="1">
        <v>5</v>
      </c>
      <c r="E152" s="1" t="s">
        <v>65</v>
      </c>
      <c r="F152" s="7">
        <v>2025</v>
      </c>
    </row>
    <row r="153" spans="1:6" x14ac:dyDescent="0.3">
      <c r="A153" s="6">
        <v>152</v>
      </c>
      <c r="B153" s="3">
        <v>45809</v>
      </c>
      <c r="C153" s="1" t="s">
        <v>67</v>
      </c>
      <c r="D153" s="1">
        <v>6</v>
      </c>
      <c r="E153" s="1" t="s">
        <v>65</v>
      </c>
      <c r="F153" s="7">
        <v>2025</v>
      </c>
    </row>
    <row r="154" spans="1:6" x14ac:dyDescent="0.3">
      <c r="A154" s="6">
        <v>153</v>
      </c>
      <c r="B154" s="3">
        <v>45810</v>
      </c>
      <c r="C154" s="1" t="s">
        <v>67</v>
      </c>
      <c r="D154" s="1">
        <v>6</v>
      </c>
      <c r="E154" s="1" t="s">
        <v>65</v>
      </c>
      <c r="F154" s="7">
        <v>2025</v>
      </c>
    </row>
    <row r="155" spans="1:6" x14ac:dyDescent="0.3">
      <c r="A155" s="6">
        <v>154</v>
      </c>
      <c r="B155" s="3">
        <v>45811</v>
      </c>
      <c r="C155" s="1" t="s">
        <v>67</v>
      </c>
      <c r="D155" s="1">
        <v>6</v>
      </c>
      <c r="E155" s="1" t="s">
        <v>65</v>
      </c>
      <c r="F155" s="7">
        <v>2025</v>
      </c>
    </row>
    <row r="156" spans="1:6" x14ac:dyDescent="0.3">
      <c r="A156" s="6">
        <v>155</v>
      </c>
      <c r="B156" s="3">
        <v>45812</v>
      </c>
      <c r="C156" s="1" t="s">
        <v>67</v>
      </c>
      <c r="D156" s="1">
        <v>6</v>
      </c>
      <c r="E156" s="1" t="s">
        <v>65</v>
      </c>
      <c r="F156" s="7">
        <v>2025</v>
      </c>
    </row>
    <row r="157" spans="1:6" x14ac:dyDescent="0.3">
      <c r="A157" s="6">
        <v>156</v>
      </c>
      <c r="B157" s="3">
        <v>45813</v>
      </c>
      <c r="C157" s="1" t="s">
        <v>67</v>
      </c>
      <c r="D157" s="1">
        <v>6</v>
      </c>
      <c r="E157" s="1" t="s">
        <v>65</v>
      </c>
      <c r="F157" s="7">
        <v>2025</v>
      </c>
    </row>
    <row r="158" spans="1:6" x14ac:dyDescent="0.3">
      <c r="A158" s="6">
        <v>157</v>
      </c>
      <c r="B158" s="3">
        <v>45814</v>
      </c>
      <c r="C158" s="1" t="s">
        <v>67</v>
      </c>
      <c r="D158" s="1">
        <v>6</v>
      </c>
      <c r="E158" s="1" t="s">
        <v>65</v>
      </c>
      <c r="F158" s="7">
        <v>2025</v>
      </c>
    </row>
    <row r="159" spans="1:6" x14ac:dyDescent="0.3">
      <c r="A159" s="6">
        <v>158</v>
      </c>
      <c r="B159" s="3">
        <v>45815</v>
      </c>
      <c r="C159" s="1" t="s">
        <v>67</v>
      </c>
      <c r="D159" s="1">
        <v>6</v>
      </c>
      <c r="E159" s="1" t="s">
        <v>65</v>
      </c>
      <c r="F159" s="7">
        <v>2025</v>
      </c>
    </row>
    <row r="160" spans="1:6" x14ac:dyDescent="0.3">
      <c r="A160" s="6">
        <v>159</v>
      </c>
      <c r="B160" s="3">
        <v>45816</v>
      </c>
      <c r="C160" s="1" t="s">
        <v>67</v>
      </c>
      <c r="D160" s="1">
        <v>6</v>
      </c>
      <c r="E160" s="1" t="s">
        <v>65</v>
      </c>
      <c r="F160" s="7">
        <v>2025</v>
      </c>
    </row>
    <row r="161" spans="1:6" x14ac:dyDescent="0.3">
      <c r="A161" s="6">
        <v>160</v>
      </c>
      <c r="B161" s="3">
        <v>45817</v>
      </c>
      <c r="C161" s="1" t="s">
        <v>67</v>
      </c>
      <c r="D161" s="1">
        <v>6</v>
      </c>
      <c r="E161" s="1" t="s">
        <v>65</v>
      </c>
      <c r="F161" s="7">
        <v>2025</v>
      </c>
    </row>
    <row r="162" spans="1:6" x14ac:dyDescent="0.3">
      <c r="A162" s="6">
        <v>161</v>
      </c>
      <c r="B162" s="3">
        <v>45818</v>
      </c>
      <c r="C162" s="1" t="s">
        <v>67</v>
      </c>
      <c r="D162" s="1">
        <v>6</v>
      </c>
      <c r="E162" s="1" t="s">
        <v>65</v>
      </c>
      <c r="F162" s="7">
        <v>2025</v>
      </c>
    </row>
    <row r="163" spans="1:6" x14ac:dyDescent="0.3">
      <c r="A163" s="6">
        <v>162</v>
      </c>
      <c r="B163" s="3">
        <v>45819</v>
      </c>
      <c r="C163" s="1" t="s">
        <v>67</v>
      </c>
      <c r="D163" s="1">
        <v>6</v>
      </c>
      <c r="E163" s="1" t="s">
        <v>65</v>
      </c>
      <c r="F163" s="7">
        <v>2025</v>
      </c>
    </row>
    <row r="164" spans="1:6" x14ac:dyDescent="0.3">
      <c r="A164" s="6">
        <v>163</v>
      </c>
      <c r="B164" s="3">
        <v>45820</v>
      </c>
      <c r="C164" s="1" t="s">
        <v>67</v>
      </c>
      <c r="D164" s="1">
        <v>6</v>
      </c>
      <c r="E164" s="1" t="s">
        <v>65</v>
      </c>
      <c r="F164" s="7">
        <v>2025</v>
      </c>
    </row>
    <row r="165" spans="1:6" x14ac:dyDescent="0.3">
      <c r="A165" s="6">
        <v>164</v>
      </c>
      <c r="B165" s="3">
        <v>45821</v>
      </c>
      <c r="C165" s="1" t="s">
        <v>67</v>
      </c>
      <c r="D165" s="1">
        <v>6</v>
      </c>
      <c r="E165" s="1" t="s">
        <v>65</v>
      </c>
      <c r="F165" s="7">
        <v>2025</v>
      </c>
    </row>
    <row r="166" spans="1:6" x14ac:dyDescent="0.3">
      <c r="A166" s="6">
        <v>165</v>
      </c>
      <c r="B166" s="3">
        <v>45822</v>
      </c>
      <c r="C166" s="1" t="s">
        <v>67</v>
      </c>
      <c r="D166" s="1">
        <v>6</v>
      </c>
      <c r="E166" s="1" t="s">
        <v>65</v>
      </c>
      <c r="F166" s="7">
        <v>2025</v>
      </c>
    </row>
    <row r="167" spans="1:6" x14ac:dyDescent="0.3">
      <c r="A167" s="6">
        <v>166</v>
      </c>
      <c r="B167" s="3">
        <v>45823</v>
      </c>
      <c r="C167" s="1" t="s">
        <v>67</v>
      </c>
      <c r="D167" s="1">
        <v>6</v>
      </c>
      <c r="E167" s="1" t="s">
        <v>65</v>
      </c>
      <c r="F167" s="7">
        <v>2025</v>
      </c>
    </row>
    <row r="168" spans="1:6" x14ac:dyDescent="0.3">
      <c r="A168" s="6">
        <v>167</v>
      </c>
      <c r="B168" s="3">
        <v>45824</v>
      </c>
      <c r="C168" s="1" t="s">
        <v>67</v>
      </c>
      <c r="D168" s="1">
        <v>6</v>
      </c>
      <c r="E168" s="1" t="s">
        <v>65</v>
      </c>
      <c r="F168" s="7">
        <v>2025</v>
      </c>
    </row>
    <row r="169" spans="1:6" x14ac:dyDescent="0.3">
      <c r="A169" s="6">
        <v>168</v>
      </c>
      <c r="B169" s="3">
        <v>45825</v>
      </c>
      <c r="C169" s="1" t="s">
        <v>67</v>
      </c>
      <c r="D169" s="1">
        <v>6</v>
      </c>
      <c r="E169" s="1" t="s">
        <v>65</v>
      </c>
      <c r="F169" s="7">
        <v>2025</v>
      </c>
    </row>
    <row r="170" spans="1:6" x14ac:dyDescent="0.3">
      <c r="A170" s="6">
        <v>169</v>
      </c>
      <c r="B170" s="3">
        <v>45826</v>
      </c>
      <c r="C170" s="1" t="s">
        <v>67</v>
      </c>
      <c r="D170" s="1">
        <v>6</v>
      </c>
      <c r="E170" s="1" t="s">
        <v>65</v>
      </c>
      <c r="F170" s="7">
        <v>2025</v>
      </c>
    </row>
    <row r="171" spans="1:6" x14ac:dyDescent="0.3">
      <c r="A171" s="6">
        <v>170</v>
      </c>
      <c r="B171" s="3">
        <v>45827</v>
      </c>
      <c r="C171" s="1" t="s">
        <v>67</v>
      </c>
      <c r="D171" s="1">
        <v>6</v>
      </c>
      <c r="E171" s="1" t="s">
        <v>65</v>
      </c>
      <c r="F171" s="7">
        <v>2025</v>
      </c>
    </row>
    <row r="172" spans="1:6" x14ac:dyDescent="0.3">
      <c r="A172" s="6">
        <v>171</v>
      </c>
      <c r="B172" s="3">
        <v>45828</v>
      </c>
      <c r="C172" s="1" t="s">
        <v>67</v>
      </c>
      <c r="D172" s="1">
        <v>6</v>
      </c>
      <c r="E172" s="1" t="s">
        <v>65</v>
      </c>
      <c r="F172" s="7">
        <v>2025</v>
      </c>
    </row>
    <row r="173" spans="1:6" x14ac:dyDescent="0.3">
      <c r="A173" s="6">
        <v>172</v>
      </c>
      <c r="B173" s="3">
        <v>45829</v>
      </c>
      <c r="C173" s="1" t="s">
        <v>67</v>
      </c>
      <c r="D173" s="1">
        <v>6</v>
      </c>
      <c r="E173" s="1" t="s">
        <v>65</v>
      </c>
      <c r="F173" s="7">
        <v>2025</v>
      </c>
    </row>
    <row r="174" spans="1:6" x14ac:dyDescent="0.3">
      <c r="A174" s="6">
        <v>173</v>
      </c>
      <c r="B174" s="3">
        <v>45830</v>
      </c>
      <c r="C174" s="1" t="s">
        <v>67</v>
      </c>
      <c r="D174" s="1">
        <v>6</v>
      </c>
      <c r="E174" s="1" t="s">
        <v>65</v>
      </c>
      <c r="F174" s="7">
        <v>2025</v>
      </c>
    </row>
    <row r="175" spans="1:6" x14ac:dyDescent="0.3">
      <c r="A175" s="6">
        <v>174</v>
      </c>
      <c r="B175" s="3">
        <v>45831</v>
      </c>
      <c r="C175" s="1" t="s">
        <v>67</v>
      </c>
      <c r="D175" s="1">
        <v>6</v>
      </c>
      <c r="E175" s="1" t="s">
        <v>65</v>
      </c>
      <c r="F175" s="7">
        <v>2025</v>
      </c>
    </row>
    <row r="176" spans="1:6" x14ac:dyDescent="0.3">
      <c r="A176" s="6">
        <v>175</v>
      </c>
      <c r="B176" s="3">
        <v>45832</v>
      </c>
      <c r="C176" s="1" t="s">
        <v>67</v>
      </c>
      <c r="D176" s="1">
        <v>6</v>
      </c>
      <c r="E176" s="1" t="s">
        <v>65</v>
      </c>
      <c r="F176" s="7">
        <v>2025</v>
      </c>
    </row>
    <row r="177" spans="1:6" x14ac:dyDescent="0.3">
      <c r="A177" s="6">
        <v>176</v>
      </c>
      <c r="B177" s="3">
        <v>45833</v>
      </c>
      <c r="C177" s="1" t="s">
        <v>67</v>
      </c>
      <c r="D177" s="1">
        <v>6</v>
      </c>
      <c r="E177" s="1" t="s">
        <v>65</v>
      </c>
      <c r="F177" s="7">
        <v>2025</v>
      </c>
    </row>
    <row r="178" spans="1:6" x14ac:dyDescent="0.3">
      <c r="A178" s="6">
        <v>177</v>
      </c>
      <c r="B178" s="3">
        <v>45834</v>
      </c>
      <c r="C178" s="1" t="s">
        <v>67</v>
      </c>
      <c r="D178" s="1">
        <v>6</v>
      </c>
      <c r="E178" s="1" t="s">
        <v>65</v>
      </c>
      <c r="F178" s="7">
        <v>2025</v>
      </c>
    </row>
    <row r="179" spans="1:6" x14ac:dyDescent="0.3">
      <c r="A179" s="6">
        <v>178</v>
      </c>
      <c r="B179" s="3">
        <v>45835</v>
      </c>
      <c r="C179" s="1" t="s">
        <v>67</v>
      </c>
      <c r="D179" s="1">
        <v>6</v>
      </c>
      <c r="E179" s="1" t="s">
        <v>65</v>
      </c>
      <c r="F179" s="7">
        <v>2025</v>
      </c>
    </row>
    <row r="180" spans="1:6" x14ac:dyDescent="0.3">
      <c r="A180" s="6">
        <v>179</v>
      </c>
      <c r="B180" s="3">
        <v>45836</v>
      </c>
      <c r="C180" s="1" t="s">
        <v>67</v>
      </c>
      <c r="D180" s="1">
        <v>6</v>
      </c>
      <c r="E180" s="1" t="s">
        <v>65</v>
      </c>
      <c r="F180" s="7">
        <v>2025</v>
      </c>
    </row>
    <row r="181" spans="1:6" x14ac:dyDescent="0.3">
      <c r="A181" s="6">
        <v>180</v>
      </c>
      <c r="B181" s="3">
        <v>45837</v>
      </c>
      <c r="C181" s="1" t="s">
        <v>67</v>
      </c>
      <c r="D181" s="1">
        <v>6</v>
      </c>
      <c r="E181" s="1" t="s">
        <v>65</v>
      </c>
      <c r="F181" s="7">
        <v>2025</v>
      </c>
    </row>
    <row r="182" spans="1:6" x14ac:dyDescent="0.3">
      <c r="A182" s="6">
        <v>181</v>
      </c>
      <c r="B182" s="3">
        <v>45838</v>
      </c>
      <c r="C182" s="1" t="s">
        <v>67</v>
      </c>
      <c r="D182" s="1">
        <v>6</v>
      </c>
      <c r="E182" s="1" t="s">
        <v>65</v>
      </c>
      <c r="F182" s="7">
        <v>2025</v>
      </c>
    </row>
    <row r="183" spans="1:6" x14ac:dyDescent="0.3">
      <c r="A183" s="6">
        <v>182</v>
      </c>
      <c r="B183" s="3">
        <v>45839</v>
      </c>
      <c r="C183" s="1" t="s">
        <v>68</v>
      </c>
      <c r="D183" s="1">
        <v>7</v>
      </c>
      <c r="E183" s="1" t="s">
        <v>69</v>
      </c>
      <c r="F183" s="7">
        <v>2025</v>
      </c>
    </row>
    <row r="184" spans="1:6" x14ac:dyDescent="0.3">
      <c r="A184" s="6">
        <v>183</v>
      </c>
      <c r="B184" s="3">
        <v>45840</v>
      </c>
      <c r="C184" s="1" t="s">
        <v>68</v>
      </c>
      <c r="D184" s="1">
        <v>7</v>
      </c>
      <c r="E184" s="1" t="s">
        <v>69</v>
      </c>
      <c r="F184" s="7">
        <v>2025</v>
      </c>
    </row>
    <row r="185" spans="1:6" x14ac:dyDescent="0.3">
      <c r="A185" s="6">
        <v>184</v>
      </c>
      <c r="B185" s="3">
        <v>45841</v>
      </c>
      <c r="C185" s="1" t="s">
        <v>68</v>
      </c>
      <c r="D185" s="1">
        <v>7</v>
      </c>
      <c r="E185" s="1" t="s">
        <v>69</v>
      </c>
      <c r="F185" s="7">
        <v>2025</v>
      </c>
    </row>
    <row r="186" spans="1:6" x14ac:dyDescent="0.3">
      <c r="A186" s="6">
        <v>185</v>
      </c>
      <c r="B186" s="3">
        <v>45842</v>
      </c>
      <c r="C186" s="1" t="s">
        <v>68</v>
      </c>
      <c r="D186" s="1">
        <v>7</v>
      </c>
      <c r="E186" s="1" t="s">
        <v>69</v>
      </c>
      <c r="F186" s="7">
        <v>2025</v>
      </c>
    </row>
    <row r="187" spans="1:6" x14ac:dyDescent="0.3">
      <c r="A187" s="6">
        <v>186</v>
      </c>
      <c r="B187" s="3">
        <v>45843</v>
      </c>
      <c r="C187" s="1" t="s">
        <v>68</v>
      </c>
      <c r="D187" s="1">
        <v>7</v>
      </c>
      <c r="E187" s="1" t="s">
        <v>69</v>
      </c>
      <c r="F187" s="7">
        <v>2025</v>
      </c>
    </row>
    <row r="188" spans="1:6" x14ac:dyDescent="0.3">
      <c r="A188" s="6">
        <v>187</v>
      </c>
      <c r="B188" s="3">
        <v>45844</v>
      </c>
      <c r="C188" s="1" t="s">
        <v>68</v>
      </c>
      <c r="D188" s="1">
        <v>7</v>
      </c>
      <c r="E188" s="1" t="s">
        <v>69</v>
      </c>
      <c r="F188" s="7">
        <v>2025</v>
      </c>
    </row>
    <row r="189" spans="1:6" x14ac:dyDescent="0.3">
      <c r="A189" s="6">
        <v>188</v>
      </c>
      <c r="B189" s="3">
        <v>45845</v>
      </c>
      <c r="C189" s="1" t="s">
        <v>68</v>
      </c>
      <c r="D189" s="1">
        <v>7</v>
      </c>
      <c r="E189" s="1" t="s">
        <v>69</v>
      </c>
      <c r="F189" s="7">
        <v>2025</v>
      </c>
    </row>
    <row r="190" spans="1:6" x14ac:dyDescent="0.3">
      <c r="A190" s="6">
        <v>189</v>
      </c>
      <c r="B190" s="3">
        <v>45846</v>
      </c>
      <c r="C190" s="1" t="s">
        <v>68</v>
      </c>
      <c r="D190" s="1">
        <v>7</v>
      </c>
      <c r="E190" s="1" t="s">
        <v>69</v>
      </c>
      <c r="F190" s="7">
        <v>2025</v>
      </c>
    </row>
    <row r="191" spans="1:6" x14ac:dyDescent="0.3">
      <c r="A191" s="6">
        <v>190</v>
      </c>
      <c r="B191" s="3">
        <v>45847</v>
      </c>
      <c r="C191" s="1" t="s">
        <v>68</v>
      </c>
      <c r="D191" s="1">
        <v>7</v>
      </c>
      <c r="E191" s="1" t="s">
        <v>69</v>
      </c>
      <c r="F191" s="7">
        <v>2025</v>
      </c>
    </row>
    <row r="192" spans="1:6" x14ac:dyDescent="0.3">
      <c r="A192" s="6">
        <v>191</v>
      </c>
      <c r="B192" s="3">
        <v>45848</v>
      </c>
      <c r="C192" s="1" t="s">
        <v>68</v>
      </c>
      <c r="D192" s="1">
        <v>7</v>
      </c>
      <c r="E192" s="1" t="s">
        <v>69</v>
      </c>
      <c r="F192" s="7">
        <v>2025</v>
      </c>
    </row>
    <row r="193" spans="1:6" x14ac:dyDescent="0.3">
      <c r="A193" s="6">
        <v>192</v>
      </c>
      <c r="B193" s="3">
        <v>45849</v>
      </c>
      <c r="C193" s="1" t="s">
        <v>68</v>
      </c>
      <c r="D193" s="1">
        <v>7</v>
      </c>
      <c r="E193" s="1" t="s">
        <v>69</v>
      </c>
      <c r="F193" s="7">
        <v>2025</v>
      </c>
    </row>
    <row r="194" spans="1:6" x14ac:dyDescent="0.3">
      <c r="A194" s="6">
        <v>193</v>
      </c>
      <c r="B194" s="3">
        <v>45850</v>
      </c>
      <c r="C194" s="1" t="s">
        <v>68</v>
      </c>
      <c r="D194" s="1">
        <v>7</v>
      </c>
      <c r="E194" s="1" t="s">
        <v>69</v>
      </c>
      <c r="F194" s="7">
        <v>2025</v>
      </c>
    </row>
    <row r="195" spans="1:6" x14ac:dyDescent="0.3">
      <c r="A195" s="6">
        <v>194</v>
      </c>
      <c r="B195" s="3">
        <v>45851</v>
      </c>
      <c r="C195" s="1" t="s">
        <v>68</v>
      </c>
      <c r="D195" s="1">
        <v>7</v>
      </c>
      <c r="E195" s="1" t="s">
        <v>69</v>
      </c>
      <c r="F195" s="7">
        <v>2025</v>
      </c>
    </row>
    <row r="196" spans="1:6" x14ac:dyDescent="0.3">
      <c r="A196" s="6">
        <v>195</v>
      </c>
      <c r="B196" s="3">
        <v>45852</v>
      </c>
      <c r="C196" s="1" t="s">
        <v>68</v>
      </c>
      <c r="D196" s="1">
        <v>7</v>
      </c>
      <c r="E196" s="1" t="s">
        <v>69</v>
      </c>
      <c r="F196" s="7">
        <v>2025</v>
      </c>
    </row>
    <row r="197" spans="1:6" x14ac:dyDescent="0.3">
      <c r="A197" s="6">
        <v>196</v>
      </c>
      <c r="B197" s="3">
        <v>45853</v>
      </c>
      <c r="C197" s="1" t="s">
        <v>68</v>
      </c>
      <c r="D197" s="1">
        <v>7</v>
      </c>
      <c r="E197" s="1" t="s">
        <v>69</v>
      </c>
      <c r="F197" s="7">
        <v>2025</v>
      </c>
    </row>
    <row r="198" spans="1:6" x14ac:dyDescent="0.3">
      <c r="A198" s="6">
        <v>197</v>
      </c>
      <c r="B198" s="3">
        <v>45854</v>
      </c>
      <c r="C198" s="1" t="s">
        <v>68</v>
      </c>
      <c r="D198" s="1">
        <v>7</v>
      </c>
      <c r="E198" s="1" t="s">
        <v>69</v>
      </c>
      <c r="F198" s="7">
        <v>2025</v>
      </c>
    </row>
    <row r="199" spans="1:6" x14ac:dyDescent="0.3">
      <c r="A199" s="6">
        <v>198</v>
      </c>
      <c r="B199" s="3">
        <v>45855</v>
      </c>
      <c r="C199" s="1" t="s">
        <v>68</v>
      </c>
      <c r="D199" s="1">
        <v>7</v>
      </c>
      <c r="E199" s="1" t="s">
        <v>69</v>
      </c>
      <c r="F199" s="7">
        <v>2025</v>
      </c>
    </row>
    <row r="200" spans="1:6" x14ac:dyDescent="0.3">
      <c r="A200" s="6">
        <v>199</v>
      </c>
      <c r="B200" s="3">
        <v>45856</v>
      </c>
      <c r="C200" s="1" t="s">
        <v>68</v>
      </c>
      <c r="D200" s="1">
        <v>7</v>
      </c>
      <c r="E200" s="1" t="s">
        <v>69</v>
      </c>
      <c r="F200" s="7">
        <v>2025</v>
      </c>
    </row>
    <row r="201" spans="1:6" x14ac:dyDescent="0.3">
      <c r="A201" s="6">
        <v>200</v>
      </c>
      <c r="B201" s="3">
        <v>45857</v>
      </c>
      <c r="C201" s="1" t="s">
        <v>68</v>
      </c>
      <c r="D201" s="1">
        <v>7</v>
      </c>
      <c r="E201" s="1" t="s">
        <v>69</v>
      </c>
      <c r="F201" s="7">
        <v>2025</v>
      </c>
    </row>
    <row r="202" spans="1:6" x14ac:dyDescent="0.3">
      <c r="A202" s="6">
        <v>201</v>
      </c>
      <c r="B202" s="3">
        <v>45858</v>
      </c>
      <c r="C202" s="1" t="s">
        <v>68</v>
      </c>
      <c r="D202" s="1">
        <v>7</v>
      </c>
      <c r="E202" s="1" t="s">
        <v>69</v>
      </c>
      <c r="F202" s="7">
        <v>2025</v>
      </c>
    </row>
    <row r="203" spans="1:6" x14ac:dyDescent="0.3">
      <c r="A203" s="6">
        <v>202</v>
      </c>
      <c r="B203" s="3">
        <v>45859</v>
      </c>
      <c r="C203" s="1" t="s">
        <v>68</v>
      </c>
      <c r="D203" s="1">
        <v>7</v>
      </c>
      <c r="E203" s="1" t="s">
        <v>69</v>
      </c>
      <c r="F203" s="7">
        <v>2025</v>
      </c>
    </row>
    <row r="204" spans="1:6" x14ac:dyDescent="0.3">
      <c r="A204" s="6">
        <v>203</v>
      </c>
      <c r="B204" s="3">
        <v>45860</v>
      </c>
      <c r="C204" s="1" t="s">
        <v>68</v>
      </c>
      <c r="D204" s="1">
        <v>7</v>
      </c>
      <c r="E204" s="1" t="s">
        <v>69</v>
      </c>
      <c r="F204" s="7">
        <v>2025</v>
      </c>
    </row>
    <row r="205" spans="1:6" x14ac:dyDescent="0.3">
      <c r="A205" s="6">
        <v>204</v>
      </c>
      <c r="B205" s="3">
        <v>45861</v>
      </c>
      <c r="C205" s="1" t="s">
        <v>68</v>
      </c>
      <c r="D205" s="1">
        <v>7</v>
      </c>
      <c r="E205" s="1" t="s">
        <v>69</v>
      </c>
      <c r="F205" s="7">
        <v>2025</v>
      </c>
    </row>
    <row r="206" spans="1:6" x14ac:dyDescent="0.3">
      <c r="A206" s="6">
        <v>205</v>
      </c>
      <c r="B206" s="3">
        <v>45862</v>
      </c>
      <c r="C206" s="1" t="s">
        <v>68</v>
      </c>
      <c r="D206" s="1">
        <v>7</v>
      </c>
      <c r="E206" s="1" t="s">
        <v>69</v>
      </c>
      <c r="F206" s="7">
        <v>2025</v>
      </c>
    </row>
    <row r="207" spans="1:6" x14ac:dyDescent="0.3">
      <c r="A207" s="6">
        <v>206</v>
      </c>
      <c r="B207" s="3">
        <v>45863</v>
      </c>
      <c r="C207" s="1" t="s">
        <v>68</v>
      </c>
      <c r="D207" s="1">
        <v>7</v>
      </c>
      <c r="E207" s="1" t="s">
        <v>69</v>
      </c>
      <c r="F207" s="7">
        <v>2025</v>
      </c>
    </row>
    <row r="208" spans="1:6" x14ac:dyDescent="0.3">
      <c r="A208" s="6">
        <v>207</v>
      </c>
      <c r="B208" s="3">
        <v>45864</v>
      </c>
      <c r="C208" s="1" t="s">
        <v>68</v>
      </c>
      <c r="D208" s="1">
        <v>7</v>
      </c>
      <c r="E208" s="1" t="s">
        <v>69</v>
      </c>
      <c r="F208" s="7">
        <v>2025</v>
      </c>
    </row>
    <row r="209" spans="1:6" x14ac:dyDescent="0.3">
      <c r="A209" s="6">
        <v>208</v>
      </c>
      <c r="B209" s="3">
        <v>45865</v>
      </c>
      <c r="C209" s="1" t="s">
        <v>68</v>
      </c>
      <c r="D209" s="1">
        <v>7</v>
      </c>
      <c r="E209" s="1" t="s">
        <v>69</v>
      </c>
      <c r="F209" s="7">
        <v>2025</v>
      </c>
    </row>
    <row r="210" spans="1:6" x14ac:dyDescent="0.3">
      <c r="A210" s="6">
        <v>209</v>
      </c>
      <c r="B210" s="3">
        <v>45866</v>
      </c>
      <c r="C210" s="1" t="s">
        <v>68</v>
      </c>
      <c r="D210" s="1">
        <v>7</v>
      </c>
      <c r="E210" s="1" t="s">
        <v>69</v>
      </c>
      <c r="F210" s="7">
        <v>2025</v>
      </c>
    </row>
    <row r="211" spans="1:6" x14ac:dyDescent="0.3">
      <c r="A211" s="6">
        <v>210</v>
      </c>
      <c r="B211" s="3">
        <v>45867</v>
      </c>
      <c r="C211" s="1" t="s">
        <v>68</v>
      </c>
      <c r="D211" s="1">
        <v>7</v>
      </c>
      <c r="E211" s="1" t="s">
        <v>69</v>
      </c>
      <c r="F211" s="7">
        <v>2025</v>
      </c>
    </row>
    <row r="212" spans="1:6" x14ac:dyDescent="0.3">
      <c r="A212" s="6">
        <v>211</v>
      </c>
      <c r="B212" s="3">
        <v>45868</v>
      </c>
      <c r="C212" s="1" t="s">
        <v>68</v>
      </c>
      <c r="D212" s="1">
        <v>7</v>
      </c>
      <c r="E212" s="1" t="s">
        <v>69</v>
      </c>
      <c r="F212" s="7">
        <v>2025</v>
      </c>
    </row>
    <row r="213" spans="1:6" x14ac:dyDescent="0.3">
      <c r="A213" s="6">
        <v>212</v>
      </c>
      <c r="B213" s="3">
        <v>45869</v>
      </c>
      <c r="C213" s="1" t="s">
        <v>68</v>
      </c>
      <c r="D213" s="1">
        <v>7</v>
      </c>
      <c r="E213" s="1" t="s">
        <v>69</v>
      </c>
      <c r="F213" s="7">
        <v>2025</v>
      </c>
    </row>
    <row r="214" spans="1:6" x14ac:dyDescent="0.3">
      <c r="A214" s="6">
        <v>213</v>
      </c>
      <c r="B214" s="3">
        <v>45870</v>
      </c>
      <c r="C214" s="1" t="s">
        <v>70</v>
      </c>
      <c r="D214" s="1">
        <v>8</v>
      </c>
      <c r="E214" s="1" t="s">
        <v>69</v>
      </c>
      <c r="F214" s="7">
        <v>2025</v>
      </c>
    </row>
    <row r="215" spans="1:6" x14ac:dyDescent="0.3">
      <c r="A215" s="6">
        <v>214</v>
      </c>
      <c r="B215" s="3">
        <v>45871</v>
      </c>
      <c r="C215" s="1" t="s">
        <v>70</v>
      </c>
      <c r="D215" s="1">
        <v>8</v>
      </c>
      <c r="E215" s="1" t="s">
        <v>69</v>
      </c>
      <c r="F215" s="7">
        <v>2025</v>
      </c>
    </row>
    <row r="216" spans="1:6" x14ac:dyDescent="0.3">
      <c r="A216" s="6">
        <v>215</v>
      </c>
      <c r="B216" s="3">
        <v>45872</v>
      </c>
      <c r="C216" s="1" t="s">
        <v>70</v>
      </c>
      <c r="D216" s="1">
        <v>8</v>
      </c>
      <c r="E216" s="1" t="s">
        <v>69</v>
      </c>
      <c r="F216" s="7">
        <v>2025</v>
      </c>
    </row>
    <row r="217" spans="1:6" x14ac:dyDescent="0.3">
      <c r="A217" s="6">
        <v>216</v>
      </c>
      <c r="B217" s="3">
        <v>45873</v>
      </c>
      <c r="C217" s="1" t="s">
        <v>70</v>
      </c>
      <c r="D217" s="1">
        <v>8</v>
      </c>
      <c r="E217" s="1" t="s">
        <v>69</v>
      </c>
      <c r="F217" s="7">
        <v>2025</v>
      </c>
    </row>
    <row r="218" spans="1:6" x14ac:dyDescent="0.3">
      <c r="A218" s="6">
        <v>217</v>
      </c>
      <c r="B218" s="3">
        <v>45874</v>
      </c>
      <c r="C218" s="1" t="s">
        <v>70</v>
      </c>
      <c r="D218" s="1">
        <v>8</v>
      </c>
      <c r="E218" s="1" t="s">
        <v>69</v>
      </c>
      <c r="F218" s="7">
        <v>2025</v>
      </c>
    </row>
    <row r="219" spans="1:6" x14ac:dyDescent="0.3">
      <c r="A219" s="6">
        <v>218</v>
      </c>
      <c r="B219" s="3">
        <v>45875</v>
      </c>
      <c r="C219" s="1" t="s">
        <v>70</v>
      </c>
      <c r="D219" s="1">
        <v>8</v>
      </c>
      <c r="E219" s="1" t="s">
        <v>69</v>
      </c>
      <c r="F219" s="7">
        <v>2025</v>
      </c>
    </row>
    <row r="220" spans="1:6" x14ac:dyDescent="0.3">
      <c r="A220" s="6">
        <v>219</v>
      </c>
      <c r="B220" s="3">
        <v>45876</v>
      </c>
      <c r="C220" s="1" t="s">
        <v>70</v>
      </c>
      <c r="D220" s="1">
        <v>8</v>
      </c>
      <c r="E220" s="1" t="s">
        <v>69</v>
      </c>
      <c r="F220" s="7">
        <v>2025</v>
      </c>
    </row>
    <row r="221" spans="1:6" x14ac:dyDescent="0.3">
      <c r="A221" s="6">
        <v>220</v>
      </c>
      <c r="B221" s="3">
        <v>45877</v>
      </c>
      <c r="C221" s="1" t="s">
        <v>70</v>
      </c>
      <c r="D221" s="1">
        <v>8</v>
      </c>
      <c r="E221" s="1" t="s">
        <v>69</v>
      </c>
      <c r="F221" s="7">
        <v>2025</v>
      </c>
    </row>
    <row r="222" spans="1:6" x14ac:dyDescent="0.3">
      <c r="A222" s="6">
        <v>221</v>
      </c>
      <c r="B222" s="3">
        <v>45878</v>
      </c>
      <c r="C222" s="1" t="s">
        <v>70</v>
      </c>
      <c r="D222" s="1">
        <v>8</v>
      </c>
      <c r="E222" s="1" t="s">
        <v>69</v>
      </c>
      <c r="F222" s="7">
        <v>2025</v>
      </c>
    </row>
    <row r="223" spans="1:6" x14ac:dyDescent="0.3">
      <c r="A223" s="6">
        <v>222</v>
      </c>
      <c r="B223" s="3">
        <v>45879</v>
      </c>
      <c r="C223" s="1" t="s">
        <v>70</v>
      </c>
      <c r="D223" s="1">
        <v>8</v>
      </c>
      <c r="E223" s="1" t="s">
        <v>69</v>
      </c>
      <c r="F223" s="7">
        <v>2025</v>
      </c>
    </row>
    <row r="224" spans="1:6" x14ac:dyDescent="0.3">
      <c r="A224" s="6">
        <v>223</v>
      </c>
      <c r="B224" s="3">
        <v>45880</v>
      </c>
      <c r="C224" s="1" t="s">
        <v>70</v>
      </c>
      <c r="D224" s="1">
        <v>8</v>
      </c>
      <c r="E224" s="1" t="s">
        <v>69</v>
      </c>
      <c r="F224" s="7">
        <v>2025</v>
      </c>
    </row>
    <row r="225" spans="1:6" x14ac:dyDescent="0.3">
      <c r="A225" s="6">
        <v>224</v>
      </c>
      <c r="B225" s="3">
        <v>45881</v>
      </c>
      <c r="C225" s="1" t="s">
        <v>70</v>
      </c>
      <c r="D225" s="1">
        <v>8</v>
      </c>
      <c r="E225" s="1" t="s">
        <v>69</v>
      </c>
      <c r="F225" s="7">
        <v>2025</v>
      </c>
    </row>
    <row r="226" spans="1:6" x14ac:dyDescent="0.3">
      <c r="A226" s="6">
        <v>225</v>
      </c>
      <c r="B226" s="3">
        <v>45882</v>
      </c>
      <c r="C226" s="1" t="s">
        <v>70</v>
      </c>
      <c r="D226" s="1">
        <v>8</v>
      </c>
      <c r="E226" s="1" t="s">
        <v>69</v>
      </c>
      <c r="F226" s="7">
        <v>2025</v>
      </c>
    </row>
    <row r="227" spans="1:6" x14ac:dyDescent="0.3">
      <c r="A227" s="6">
        <v>226</v>
      </c>
      <c r="B227" s="3">
        <v>45883</v>
      </c>
      <c r="C227" s="1" t="s">
        <v>70</v>
      </c>
      <c r="D227" s="1">
        <v>8</v>
      </c>
      <c r="E227" s="1" t="s">
        <v>69</v>
      </c>
      <c r="F227" s="7">
        <v>2025</v>
      </c>
    </row>
    <row r="228" spans="1:6" x14ac:dyDescent="0.3">
      <c r="A228" s="6">
        <v>227</v>
      </c>
      <c r="B228" s="3">
        <v>45884</v>
      </c>
      <c r="C228" s="1" t="s">
        <v>70</v>
      </c>
      <c r="D228" s="1">
        <v>8</v>
      </c>
      <c r="E228" s="1" t="s">
        <v>69</v>
      </c>
      <c r="F228" s="7">
        <v>2025</v>
      </c>
    </row>
    <row r="229" spans="1:6" x14ac:dyDescent="0.3">
      <c r="A229" s="6">
        <v>228</v>
      </c>
      <c r="B229" s="3">
        <v>45885</v>
      </c>
      <c r="C229" s="1" t="s">
        <v>70</v>
      </c>
      <c r="D229" s="1">
        <v>8</v>
      </c>
      <c r="E229" s="1" t="s">
        <v>69</v>
      </c>
      <c r="F229" s="7">
        <v>2025</v>
      </c>
    </row>
    <row r="230" spans="1:6" x14ac:dyDescent="0.3">
      <c r="A230" s="6">
        <v>229</v>
      </c>
      <c r="B230" s="3">
        <v>45886</v>
      </c>
      <c r="C230" s="1" t="s">
        <v>70</v>
      </c>
      <c r="D230" s="1">
        <v>8</v>
      </c>
      <c r="E230" s="1" t="s">
        <v>69</v>
      </c>
      <c r="F230" s="7">
        <v>2025</v>
      </c>
    </row>
    <row r="231" spans="1:6" x14ac:dyDescent="0.3">
      <c r="A231" s="6">
        <v>230</v>
      </c>
      <c r="B231" s="3">
        <v>45887</v>
      </c>
      <c r="C231" s="1" t="s">
        <v>70</v>
      </c>
      <c r="D231" s="1">
        <v>8</v>
      </c>
      <c r="E231" s="1" t="s">
        <v>69</v>
      </c>
      <c r="F231" s="7">
        <v>2025</v>
      </c>
    </row>
    <row r="232" spans="1:6" x14ac:dyDescent="0.3">
      <c r="A232" s="6">
        <v>231</v>
      </c>
      <c r="B232" s="3">
        <v>45888</v>
      </c>
      <c r="C232" s="1" t="s">
        <v>70</v>
      </c>
      <c r="D232" s="1">
        <v>8</v>
      </c>
      <c r="E232" s="1" t="s">
        <v>69</v>
      </c>
      <c r="F232" s="7">
        <v>2025</v>
      </c>
    </row>
    <row r="233" spans="1:6" x14ac:dyDescent="0.3">
      <c r="A233" s="6">
        <v>232</v>
      </c>
      <c r="B233" s="3">
        <v>45889</v>
      </c>
      <c r="C233" s="1" t="s">
        <v>70</v>
      </c>
      <c r="D233" s="1">
        <v>8</v>
      </c>
      <c r="E233" s="1" t="s">
        <v>69</v>
      </c>
      <c r="F233" s="7">
        <v>2025</v>
      </c>
    </row>
    <row r="234" spans="1:6" x14ac:dyDescent="0.3">
      <c r="A234" s="6">
        <v>233</v>
      </c>
      <c r="B234" s="3">
        <v>45890</v>
      </c>
      <c r="C234" s="1" t="s">
        <v>70</v>
      </c>
      <c r="D234" s="1">
        <v>8</v>
      </c>
      <c r="E234" s="1" t="s">
        <v>69</v>
      </c>
      <c r="F234" s="7">
        <v>2025</v>
      </c>
    </row>
    <row r="235" spans="1:6" x14ac:dyDescent="0.3">
      <c r="A235" s="6">
        <v>234</v>
      </c>
      <c r="B235" s="3">
        <v>45891</v>
      </c>
      <c r="C235" s="1" t="s">
        <v>70</v>
      </c>
      <c r="D235" s="1">
        <v>8</v>
      </c>
      <c r="E235" s="1" t="s">
        <v>69</v>
      </c>
      <c r="F235" s="7">
        <v>2025</v>
      </c>
    </row>
    <row r="236" spans="1:6" x14ac:dyDescent="0.3">
      <c r="A236" s="6">
        <v>235</v>
      </c>
      <c r="B236" s="3">
        <v>45892</v>
      </c>
      <c r="C236" s="1" t="s">
        <v>70</v>
      </c>
      <c r="D236" s="1">
        <v>8</v>
      </c>
      <c r="E236" s="1" t="s">
        <v>69</v>
      </c>
      <c r="F236" s="7">
        <v>2025</v>
      </c>
    </row>
    <row r="237" spans="1:6" x14ac:dyDescent="0.3">
      <c r="A237" s="6">
        <v>236</v>
      </c>
      <c r="B237" s="3">
        <v>45893</v>
      </c>
      <c r="C237" s="1" t="s">
        <v>70</v>
      </c>
      <c r="D237" s="1">
        <v>8</v>
      </c>
      <c r="E237" s="1" t="s">
        <v>69</v>
      </c>
      <c r="F237" s="7">
        <v>2025</v>
      </c>
    </row>
    <row r="238" spans="1:6" x14ac:dyDescent="0.3">
      <c r="A238" s="6">
        <v>237</v>
      </c>
      <c r="B238" s="3">
        <v>45894</v>
      </c>
      <c r="C238" s="1" t="s">
        <v>70</v>
      </c>
      <c r="D238" s="1">
        <v>8</v>
      </c>
      <c r="E238" s="1" t="s">
        <v>69</v>
      </c>
      <c r="F238" s="7">
        <v>2025</v>
      </c>
    </row>
    <row r="239" spans="1:6" x14ac:dyDescent="0.3">
      <c r="A239" s="6">
        <v>238</v>
      </c>
      <c r="B239" s="3">
        <v>45895</v>
      </c>
      <c r="C239" s="1" t="s">
        <v>70</v>
      </c>
      <c r="D239" s="1">
        <v>8</v>
      </c>
      <c r="E239" s="1" t="s">
        <v>69</v>
      </c>
      <c r="F239" s="7">
        <v>2025</v>
      </c>
    </row>
    <row r="240" spans="1:6" x14ac:dyDescent="0.3">
      <c r="A240" s="6">
        <v>239</v>
      </c>
      <c r="B240" s="3">
        <v>45896</v>
      </c>
      <c r="C240" s="1" t="s">
        <v>70</v>
      </c>
      <c r="D240" s="1">
        <v>8</v>
      </c>
      <c r="E240" s="1" t="s">
        <v>69</v>
      </c>
      <c r="F240" s="7">
        <v>2025</v>
      </c>
    </row>
    <row r="241" spans="1:6" x14ac:dyDescent="0.3">
      <c r="A241" s="6">
        <v>240</v>
      </c>
      <c r="B241" s="3">
        <v>45897</v>
      </c>
      <c r="C241" s="1" t="s">
        <v>70</v>
      </c>
      <c r="D241" s="1">
        <v>8</v>
      </c>
      <c r="E241" s="1" t="s">
        <v>69</v>
      </c>
      <c r="F241" s="7">
        <v>2025</v>
      </c>
    </row>
    <row r="242" spans="1:6" x14ac:dyDescent="0.3">
      <c r="A242" s="6">
        <v>241</v>
      </c>
      <c r="B242" s="3">
        <v>45898</v>
      </c>
      <c r="C242" s="1" t="s">
        <v>70</v>
      </c>
      <c r="D242" s="1">
        <v>8</v>
      </c>
      <c r="E242" s="1" t="s">
        <v>69</v>
      </c>
      <c r="F242" s="7">
        <v>2025</v>
      </c>
    </row>
    <row r="243" spans="1:6" x14ac:dyDescent="0.3">
      <c r="A243" s="6">
        <v>242</v>
      </c>
      <c r="B243" s="3">
        <v>45899</v>
      </c>
      <c r="C243" s="1" t="s">
        <v>70</v>
      </c>
      <c r="D243" s="1">
        <v>8</v>
      </c>
      <c r="E243" s="1" t="s">
        <v>69</v>
      </c>
      <c r="F243" s="7">
        <v>2025</v>
      </c>
    </row>
    <row r="244" spans="1:6" x14ac:dyDescent="0.3">
      <c r="A244" s="6">
        <v>243</v>
      </c>
      <c r="B244" s="3">
        <v>45900</v>
      </c>
      <c r="C244" s="1" t="s">
        <v>70</v>
      </c>
      <c r="D244" s="1">
        <v>8</v>
      </c>
      <c r="E244" s="1" t="s">
        <v>69</v>
      </c>
      <c r="F244" s="7">
        <v>2025</v>
      </c>
    </row>
    <row r="245" spans="1:6" x14ac:dyDescent="0.3">
      <c r="A245" s="6">
        <v>244</v>
      </c>
      <c r="B245" s="3">
        <v>45901</v>
      </c>
      <c r="C245" s="1" t="s">
        <v>71</v>
      </c>
      <c r="D245" s="1">
        <v>9</v>
      </c>
      <c r="E245" s="1" t="s">
        <v>69</v>
      </c>
      <c r="F245" s="7">
        <v>2025</v>
      </c>
    </row>
    <row r="246" spans="1:6" x14ac:dyDescent="0.3">
      <c r="A246" s="6">
        <v>245</v>
      </c>
      <c r="B246" s="3">
        <v>45902</v>
      </c>
      <c r="C246" s="1" t="s">
        <v>71</v>
      </c>
      <c r="D246" s="1">
        <v>9</v>
      </c>
      <c r="E246" s="1" t="s">
        <v>69</v>
      </c>
      <c r="F246" s="7">
        <v>2025</v>
      </c>
    </row>
    <row r="247" spans="1:6" x14ac:dyDescent="0.3">
      <c r="A247" s="6">
        <v>246</v>
      </c>
      <c r="B247" s="3">
        <v>45903</v>
      </c>
      <c r="C247" s="1" t="s">
        <v>71</v>
      </c>
      <c r="D247" s="1">
        <v>9</v>
      </c>
      <c r="E247" s="1" t="s">
        <v>69</v>
      </c>
      <c r="F247" s="7">
        <v>2025</v>
      </c>
    </row>
    <row r="248" spans="1:6" x14ac:dyDescent="0.3">
      <c r="A248" s="6">
        <v>247</v>
      </c>
      <c r="B248" s="3">
        <v>45904</v>
      </c>
      <c r="C248" s="1" t="s">
        <v>71</v>
      </c>
      <c r="D248" s="1">
        <v>9</v>
      </c>
      <c r="E248" s="1" t="s">
        <v>69</v>
      </c>
      <c r="F248" s="7">
        <v>2025</v>
      </c>
    </row>
    <row r="249" spans="1:6" x14ac:dyDescent="0.3">
      <c r="A249" s="6">
        <v>248</v>
      </c>
      <c r="B249" s="3">
        <v>45905</v>
      </c>
      <c r="C249" s="1" t="s">
        <v>71</v>
      </c>
      <c r="D249" s="1">
        <v>9</v>
      </c>
      <c r="E249" s="1" t="s">
        <v>69</v>
      </c>
      <c r="F249" s="7">
        <v>2025</v>
      </c>
    </row>
    <row r="250" spans="1:6" x14ac:dyDescent="0.3">
      <c r="A250" s="6">
        <v>249</v>
      </c>
      <c r="B250" s="3">
        <v>45906</v>
      </c>
      <c r="C250" s="1" t="s">
        <v>71</v>
      </c>
      <c r="D250" s="1">
        <v>9</v>
      </c>
      <c r="E250" s="1" t="s">
        <v>69</v>
      </c>
      <c r="F250" s="7">
        <v>2025</v>
      </c>
    </row>
    <row r="251" spans="1:6" x14ac:dyDescent="0.3">
      <c r="A251" s="6">
        <v>250</v>
      </c>
      <c r="B251" s="3">
        <v>45907</v>
      </c>
      <c r="C251" s="1" t="s">
        <v>71</v>
      </c>
      <c r="D251" s="1">
        <v>9</v>
      </c>
      <c r="E251" s="1" t="s">
        <v>69</v>
      </c>
      <c r="F251" s="7">
        <v>2025</v>
      </c>
    </row>
    <row r="252" spans="1:6" x14ac:dyDescent="0.3">
      <c r="A252" s="6">
        <v>251</v>
      </c>
      <c r="B252" s="3">
        <v>45908</v>
      </c>
      <c r="C252" s="1" t="s">
        <v>71</v>
      </c>
      <c r="D252" s="1">
        <v>9</v>
      </c>
      <c r="E252" s="1" t="s">
        <v>69</v>
      </c>
      <c r="F252" s="7">
        <v>2025</v>
      </c>
    </row>
    <row r="253" spans="1:6" x14ac:dyDescent="0.3">
      <c r="A253" s="6">
        <v>252</v>
      </c>
      <c r="B253" s="3">
        <v>45909</v>
      </c>
      <c r="C253" s="1" t="s">
        <v>71</v>
      </c>
      <c r="D253" s="1">
        <v>9</v>
      </c>
      <c r="E253" s="1" t="s">
        <v>69</v>
      </c>
      <c r="F253" s="7">
        <v>2025</v>
      </c>
    </row>
    <row r="254" spans="1:6" x14ac:dyDescent="0.3">
      <c r="A254" s="6">
        <v>253</v>
      </c>
      <c r="B254" s="3">
        <v>45910</v>
      </c>
      <c r="C254" s="1" t="s">
        <v>71</v>
      </c>
      <c r="D254" s="1">
        <v>9</v>
      </c>
      <c r="E254" s="1" t="s">
        <v>69</v>
      </c>
      <c r="F254" s="7">
        <v>2025</v>
      </c>
    </row>
    <row r="255" spans="1:6" x14ac:dyDescent="0.3">
      <c r="A255" s="6">
        <v>254</v>
      </c>
      <c r="B255" s="3">
        <v>45911</v>
      </c>
      <c r="C255" s="1" t="s">
        <v>71</v>
      </c>
      <c r="D255" s="1">
        <v>9</v>
      </c>
      <c r="E255" s="1" t="s">
        <v>69</v>
      </c>
      <c r="F255" s="7">
        <v>2025</v>
      </c>
    </row>
    <row r="256" spans="1:6" x14ac:dyDescent="0.3">
      <c r="A256" s="6">
        <v>255</v>
      </c>
      <c r="B256" s="3">
        <v>45912</v>
      </c>
      <c r="C256" s="1" t="s">
        <v>71</v>
      </c>
      <c r="D256" s="1">
        <v>9</v>
      </c>
      <c r="E256" s="1" t="s">
        <v>69</v>
      </c>
      <c r="F256" s="7">
        <v>2025</v>
      </c>
    </row>
    <row r="257" spans="1:6" x14ac:dyDescent="0.3">
      <c r="A257" s="6">
        <v>256</v>
      </c>
      <c r="B257" s="3">
        <v>45913</v>
      </c>
      <c r="C257" s="1" t="s">
        <v>71</v>
      </c>
      <c r="D257" s="1">
        <v>9</v>
      </c>
      <c r="E257" s="1" t="s">
        <v>69</v>
      </c>
      <c r="F257" s="7">
        <v>2025</v>
      </c>
    </row>
    <row r="258" spans="1:6" x14ac:dyDescent="0.3">
      <c r="A258" s="6">
        <v>257</v>
      </c>
      <c r="B258" s="3">
        <v>45914</v>
      </c>
      <c r="C258" s="1" t="s">
        <v>71</v>
      </c>
      <c r="D258" s="1">
        <v>9</v>
      </c>
      <c r="E258" s="1" t="s">
        <v>69</v>
      </c>
      <c r="F258" s="7">
        <v>2025</v>
      </c>
    </row>
    <row r="259" spans="1:6" x14ac:dyDescent="0.3">
      <c r="A259" s="6">
        <v>258</v>
      </c>
      <c r="B259" s="3">
        <v>45915</v>
      </c>
      <c r="C259" s="1" t="s">
        <v>71</v>
      </c>
      <c r="D259" s="1">
        <v>9</v>
      </c>
      <c r="E259" s="1" t="s">
        <v>69</v>
      </c>
      <c r="F259" s="7">
        <v>2025</v>
      </c>
    </row>
    <row r="260" spans="1:6" x14ac:dyDescent="0.3">
      <c r="A260" s="6">
        <v>259</v>
      </c>
      <c r="B260" s="3">
        <v>45916</v>
      </c>
      <c r="C260" s="1" t="s">
        <v>71</v>
      </c>
      <c r="D260" s="1">
        <v>9</v>
      </c>
      <c r="E260" s="1" t="s">
        <v>69</v>
      </c>
      <c r="F260" s="7">
        <v>2025</v>
      </c>
    </row>
    <row r="261" spans="1:6" x14ac:dyDescent="0.3">
      <c r="A261" s="6">
        <v>260</v>
      </c>
      <c r="B261" s="3">
        <v>45917</v>
      </c>
      <c r="C261" s="1" t="s">
        <v>71</v>
      </c>
      <c r="D261" s="1">
        <v>9</v>
      </c>
      <c r="E261" s="1" t="s">
        <v>69</v>
      </c>
      <c r="F261" s="7">
        <v>2025</v>
      </c>
    </row>
    <row r="262" spans="1:6" x14ac:dyDescent="0.3">
      <c r="A262" s="6">
        <v>261</v>
      </c>
      <c r="B262" s="3">
        <v>45918</v>
      </c>
      <c r="C262" s="1" t="s">
        <v>71</v>
      </c>
      <c r="D262" s="1">
        <v>9</v>
      </c>
      <c r="E262" s="1" t="s">
        <v>69</v>
      </c>
      <c r="F262" s="7">
        <v>2025</v>
      </c>
    </row>
    <row r="263" spans="1:6" x14ac:dyDescent="0.3">
      <c r="A263" s="6">
        <v>262</v>
      </c>
      <c r="B263" s="3">
        <v>45919</v>
      </c>
      <c r="C263" s="1" t="s">
        <v>71</v>
      </c>
      <c r="D263" s="1">
        <v>9</v>
      </c>
      <c r="E263" s="1" t="s">
        <v>69</v>
      </c>
      <c r="F263" s="7">
        <v>2025</v>
      </c>
    </row>
    <row r="264" spans="1:6" x14ac:dyDescent="0.3">
      <c r="A264" s="6">
        <v>263</v>
      </c>
      <c r="B264" s="3">
        <v>45920</v>
      </c>
      <c r="C264" s="1" t="s">
        <v>71</v>
      </c>
      <c r="D264" s="1">
        <v>9</v>
      </c>
      <c r="E264" s="1" t="s">
        <v>69</v>
      </c>
      <c r="F264" s="7">
        <v>2025</v>
      </c>
    </row>
    <row r="265" spans="1:6" x14ac:dyDescent="0.3">
      <c r="A265" s="6">
        <v>264</v>
      </c>
      <c r="B265" s="3">
        <v>45921</v>
      </c>
      <c r="C265" s="1" t="s">
        <v>71</v>
      </c>
      <c r="D265" s="1">
        <v>9</v>
      </c>
      <c r="E265" s="1" t="s">
        <v>69</v>
      </c>
      <c r="F265" s="7">
        <v>2025</v>
      </c>
    </row>
    <row r="266" spans="1:6" x14ac:dyDescent="0.3">
      <c r="A266" s="6">
        <v>265</v>
      </c>
      <c r="B266" s="3">
        <v>45922</v>
      </c>
      <c r="C266" s="1" t="s">
        <v>71</v>
      </c>
      <c r="D266" s="1">
        <v>9</v>
      </c>
      <c r="E266" s="1" t="s">
        <v>69</v>
      </c>
      <c r="F266" s="7">
        <v>2025</v>
      </c>
    </row>
    <row r="267" spans="1:6" x14ac:dyDescent="0.3">
      <c r="A267" s="6">
        <v>266</v>
      </c>
      <c r="B267" s="3">
        <v>45923</v>
      </c>
      <c r="C267" s="1" t="s">
        <v>71</v>
      </c>
      <c r="D267" s="1">
        <v>9</v>
      </c>
      <c r="E267" s="1" t="s">
        <v>69</v>
      </c>
      <c r="F267" s="7">
        <v>2025</v>
      </c>
    </row>
    <row r="268" spans="1:6" x14ac:dyDescent="0.3">
      <c r="A268" s="6">
        <v>267</v>
      </c>
      <c r="B268" s="3">
        <v>45924</v>
      </c>
      <c r="C268" s="1" t="s">
        <v>71</v>
      </c>
      <c r="D268" s="1">
        <v>9</v>
      </c>
      <c r="E268" s="1" t="s">
        <v>69</v>
      </c>
      <c r="F268" s="7">
        <v>2025</v>
      </c>
    </row>
    <row r="269" spans="1:6" x14ac:dyDescent="0.3">
      <c r="A269" s="6">
        <v>268</v>
      </c>
      <c r="B269" s="3">
        <v>45925</v>
      </c>
      <c r="C269" s="1" t="s">
        <v>71</v>
      </c>
      <c r="D269" s="1">
        <v>9</v>
      </c>
      <c r="E269" s="1" t="s">
        <v>69</v>
      </c>
      <c r="F269" s="7">
        <v>2025</v>
      </c>
    </row>
    <row r="270" spans="1:6" x14ac:dyDescent="0.3">
      <c r="A270" s="6">
        <v>269</v>
      </c>
      <c r="B270" s="3">
        <v>45926</v>
      </c>
      <c r="C270" s="1" t="s">
        <v>71</v>
      </c>
      <c r="D270" s="1">
        <v>9</v>
      </c>
      <c r="E270" s="1" t="s">
        <v>69</v>
      </c>
      <c r="F270" s="7">
        <v>2025</v>
      </c>
    </row>
    <row r="271" spans="1:6" x14ac:dyDescent="0.3">
      <c r="A271" s="6">
        <v>270</v>
      </c>
      <c r="B271" s="3">
        <v>45927</v>
      </c>
      <c r="C271" s="1" t="s">
        <v>71</v>
      </c>
      <c r="D271" s="1">
        <v>9</v>
      </c>
      <c r="E271" s="1" t="s">
        <v>69</v>
      </c>
      <c r="F271" s="7">
        <v>2025</v>
      </c>
    </row>
    <row r="272" spans="1:6" x14ac:dyDescent="0.3">
      <c r="A272" s="6">
        <v>271</v>
      </c>
      <c r="B272" s="3">
        <v>45928</v>
      </c>
      <c r="C272" s="1" t="s">
        <v>71</v>
      </c>
      <c r="D272" s="1">
        <v>9</v>
      </c>
      <c r="E272" s="1" t="s">
        <v>69</v>
      </c>
      <c r="F272" s="7">
        <v>2025</v>
      </c>
    </row>
    <row r="273" spans="1:6" x14ac:dyDescent="0.3">
      <c r="A273" s="6">
        <v>272</v>
      </c>
      <c r="B273" s="3">
        <v>45929</v>
      </c>
      <c r="C273" s="1" t="s">
        <v>71</v>
      </c>
      <c r="D273" s="1">
        <v>9</v>
      </c>
      <c r="E273" s="1" t="s">
        <v>69</v>
      </c>
      <c r="F273" s="7">
        <v>2025</v>
      </c>
    </row>
    <row r="274" spans="1:6" x14ac:dyDescent="0.3">
      <c r="A274" s="6">
        <v>273</v>
      </c>
      <c r="B274" s="3">
        <v>45930</v>
      </c>
      <c r="C274" s="1" t="s">
        <v>71</v>
      </c>
      <c r="D274" s="1">
        <v>9</v>
      </c>
      <c r="E274" s="1" t="s">
        <v>69</v>
      </c>
      <c r="F274" s="7">
        <v>2025</v>
      </c>
    </row>
    <row r="275" spans="1:6" x14ac:dyDescent="0.3">
      <c r="A275" s="6">
        <v>274</v>
      </c>
      <c r="B275" s="3">
        <v>45931</v>
      </c>
      <c r="C275" s="1" t="s">
        <v>72</v>
      </c>
      <c r="D275" s="1">
        <v>10</v>
      </c>
      <c r="E275" s="1" t="s">
        <v>73</v>
      </c>
      <c r="F275" s="7">
        <v>2025</v>
      </c>
    </row>
    <row r="276" spans="1:6" x14ac:dyDescent="0.3">
      <c r="A276" s="6">
        <v>275</v>
      </c>
      <c r="B276" s="3">
        <v>45932</v>
      </c>
      <c r="C276" s="1" t="s">
        <v>72</v>
      </c>
      <c r="D276" s="1">
        <v>10</v>
      </c>
      <c r="E276" s="1" t="s">
        <v>73</v>
      </c>
      <c r="F276" s="7">
        <v>2025</v>
      </c>
    </row>
    <row r="277" spans="1:6" x14ac:dyDescent="0.3">
      <c r="A277" s="6">
        <v>276</v>
      </c>
      <c r="B277" s="3">
        <v>45933</v>
      </c>
      <c r="C277" s="1" t="s">
        <v>72</v>
      </c>
      <c r="D277" s="1">
        <v>10</v>
      </c>
      <c r="E277" s="1" t="s">
        <v>73</v>
      </c>
      <c r="F277" s="7">
        <v>2025</v>
      </c>
    </row>
    <row r="278" spans="1:6" x14ac:dyDescent="0.3">
      <c r="A278" s="6">
        <v>277</v>
      </c>
      <c r="B278" s="3">
        <v>45934</v>
      </c>
      <c r="C278" s="1" t="s">
        <v>72</v>
      </c>
      <c r="D278" s="1">
        <v>10</v>
      </c>
      <c r="E278" s="1" t="s">
        <v>73</v>
      </c>
      <c r="F278" s="7">
        <v>2025</v>
      </c>
    </row>
    <row r="279" spans="1:6" x14ac:dyDescent="0.3">
      <c r="A279" s="6">
        <v>278</v>
      </c>
      <c r="B279" s="3">
        <v>45935</v>
      </c>
      <c r="C279" s="1" t="s">
        <v>72</v>
      </c>
      <c r="D279" s="1">
        <v>10</v>
      </c>
      <c r="E279" s="1" t="s">
        <v>73</v>
      </c>
      <c r="F279" s="7">
        <v>2025</v>
      </c>
    </row>
    <row r="280" spans="1:6" x14ac:dyDescent="0.3">
      <c r="A280" s="6">
        <v>279</v>
      </c>
      <c r="B280" s="3">
        <v>45936</v>
      </c>
      <c r="C280" s="1" t="s">
        <v>72</v>
      </c>
      <c r="D280" s="1">
        <v>10</v>
      </c>
      <c r="E280" s="1" t="s">
        <v>73</v>
      </c>
      <c r="F280" s="7">
        <v>2025</v>
      </c>
    </row>
    <row r="281" spans="1:6" x14ac:dyDescent="0.3">
      <c r="A281" s="6">
        <v>280</v>
      </c>
      <c r="B281" s="3">
        <v>45937</v>
      </c>
      <c r="C281" s="1" t="s">
        <v>72</v>
      </c>
      <c r="D281" s="1">
        <v>10</v>
      </c>
      <c r="E281" s="1" t="s">
        <v>73</v>
      </c>
      <c r="F281" s="7">
        <v>2025</v>
      </c>
    </row>
    <row r="282" spans="1:6" x14ac:dyDescent="0.3">
      <c r="A282" s="6">
        <v>281</v>
      </c>
      <c r="B282" s="3">
        <v>45938</v>
      </c>
      <c r="C282" s="1" t="s">
        <v>72</v>
      </c>
      <c r="D282" s="1">
        <v>10</v>
      </c>
      <c r="E282" s="1" t="s">
        <v>73</v>
      </c>
      <c r="F282" s="7">
        <v>2025</v>
      </c>
    </row>
    <row r="283" spans="1:6" x14ac:dyDescent="0.3">
      <c r="A283" s="6">
        <v>282</v>
      </c>
      <c r="B283" s="3">
        <v>45939</v>
      </c>
      <c r="C283" s="1" t="s">
        <v>72</v>
      </c>
      <c r="D283" s="1">
        <v>10</v>
      </c>
      <c r="E283" s="1" t="s">
        <v>73</v>
      </c>
      <c r="F283" s="7">
        <v>2025</v>
      </c>
    </row>
    <row r="284" spans="1:6" x14ac:dyDescent="0.3">
      <c r="A284" s="6">
        <v>283</v>
      </c>
      <c r="B284" s="3">
        <v>45940</v>
      </c>
      <c r="C284" s="1" t="s">
        <v>72</v>
      </c>
      <c r="D284" s="1">
        <v>10</v>
      </c>
      <c r="E284" s="1" t="s">
        <v>73</v>
      </c>
      <c r="F284" s="7">
        <v>2025</v>
      </c>
    </row>
    <row r="285" spans="1:6" x14ac:dyDescent="0.3">
      <c r="A285" s="6">
        <v>284</v>
      </c>
      <c r="B285" s="3">
        <v>45941</v>
      </c>
      <c r="C285" s="1" t="s">
        <v>72</v>
      </c>
      <c r="D285" s="1">
        <v>10</v>
      </c>
      <c r="E285" s="1" t="s">
        <v>73</v>
      </c>
      <c r="F285" s="7">
        <v>2025</v>
      </c>
    </row>
    <row r="286" spans="1:6" x14ac:dyDescent="0.3">
      <c r="A286" s="6">
        <v>285</v>
      </c>
      <c r="B286" s="3">
        <v>45942</v>
      </c>
      <c r="C286" s="1" t="s">
        <v>72</v>
      </c>
      <c r="D286" s="1">
        <v>10</v>
      </c>
      <c r="E286" s="1" t="s">
        <v>73</v>
      </c>
      <c r="F286" s="7">
        <v>2025</v>
      </c>
    </row>
    <row r="287" spans="1:6" x14ac:dyDescent="0.3">
      <c r="A287" s="6">
        <v>286</v>
      </c>
      <c r="B287" s="3">
        <v>45943</v>
      </c>
      <c r="C287" s="1" t="s">
        <v>72</v>
      </c>
      <c r="D287" s="1">
        <v>10</v>
      </c>
      <c r="E287" s="1" t="s">
        <v>73</v>
      </c>
      <c r="F287" s="7">
        <v>2025</v>
      </c>
    </row>
    <row r="288" spans="1:6" x14ac:dyDescent="0.3">
      <c r="A288" s="6">
        <v>287</v>
      </c>
      <c r="B288" s="3">
        <v>45944</v>
      </c>
      <c r="C288" s="1" t="s">
        <v>72</v>
      </c>
      <c r="D288" s="1">
        <v>10</v>
      </c>
      <c r="E288" s="1" t="s">
        <v>73</v>
      </c>
      <c r="F288" s="7">
        <v>2025</v>
      </c>
    </row>
    <row r="289" spans="1:6" x14ac:dyDescent="0.3">
      <c r="A289" s="6">
        <v>288</v>
      </c>
      <c r="B289" s="3">
        <v>45945</v>
      </c>
      <c r="C289" s="1" t="s">
        <v>72</v>
      </c>
      <c r="D289" s="1">
        <v>10</v>
      </c>
      <c r="E289" s="1" t="s">
        <v>73</v>
      </c>
      <c r="F289" s="7">
        <v>2025</v>
      </c>
    </row>
    <row r="290" spans="1:6" x14ac:dyDescent="0.3">
      <c r="A290" s="6">
        <v>289</v>
      </c>
      <c r="B290" s="3">
        <v>45946</v>
      </c>
      <c r="C290" s="1" t="s">
        <v>72</v>
      </c>
      <c r="D290" s="1">
        <v>10</v>
      </c>
      <c r="E290" s="1" t="s">
        <v>73</v>
      </c>
      <c r="F290" s="7">
        <v>2025</v>
      </c>
    </row>
    <row r="291" spans="1:6" x14ac:dyDescent="0.3">
      <c r="A291" s="6">
        <v>290</v>
      </c>
      <c r="B291" s="3">
        <v>45947</v>
      </c>
      <c r="C291" s="1" t="s">
        <v>72</v>
      </c>
      <c r="D291" s="1">
        <v>10</v>
      </c>
      <c r="E291" s="1" t="s">
        <v>73</v>
      </c>
      <c r="F291" s="7">
        <v>2025</v>
      </c>
    </row>
    <row r="292" spans="1:6" x14ac:dyDescent="0.3">
      <c r="A292" s="6">
        <v>291</v>
      </c>
      <c r="B292" s="3">
        <v>45948</v>
      </c>
      <c r="C292" s="1" t="s">
        <v>72</v>
      </c>
      <c r="D292" s="1">
        <v>10</v>
      </c>
      <c r="E292" s="1" t="s">
        <v>73</v>
      </c>
      <c r="F292" s="7">
        <v>2025</v>
      </c>
    </row>
    <row r="293" spans="1:6" x14ac:dyDescent="0.3">
      <c r="A293" s="6">
        <v>292</v>
      </c>
      <c r="B293" s="3">
        <v>45949</v>
      </c>
      <c r="C293" s="1" t="s">
        <v>72</v>
      </c>
      <c r="D293" s="1">
        <v>10</v>
      </c>
      <c r="E293" s="1" t="s">
        <v>73</v>
      </c>
      <c r="F293" s="7">
        <v>2025</v>
      </c>
    </row>
    <row r="294" spans="1:6" x14ac:dyDescent="0.3">
      <c r="A294" s="6">
        <v>293</v>
      </c>
      <c r="B294" s="3">
        <v>45950</v>
      </c>
      <c r="C294" s="1" t="s">
        <v>72</v>
      </c>
      <c r="D294" s="1">
        <v>10</v>
      </c>
      <c r="E294" s="1" t="s">
        <v>73</v>
      </c>
      <c r="F294" s="7">
        <v>2025</v>
      </c>
    </row>
    <row r="295" spans="1:6" x14ac:dyDescent="0.3">
      <c r="A295" s="6">
        <v>294</v>
      </c>
      <c r="B295" s="3">
        <v>45951</v>
      </c>
      <c r="C295" s="1" t="s">
        <v>72</v>
      </c>
      <c r="D295" s="1">
        <v>10</v>
      </c>
      <c r="E295" s="1" t="s">
        <v>73</v>
      </c>
      <c r="F295" s="7">
        <v>2025</v>
      </c>
    </row>
    <row r="296" spans="1:6" x14ac:dyDescent="0.3">
      <c r="A296" s="6">
        <v>295</v>
      </c>
      <c r="B296" s="3">
        <v>45952</v>
      </c>
      <c r="C296" s="1" t="s">
        <v>72</v>
      </c>
      <c r="D296" s="1">
        <v>10</v>
      </c>
      <c r="E296" s="1" t="s">
        <v>73</v>
      </c>
      <c r="F296" s="7">
        <v>2025</v>
      </c>
    </row>
    <row r="297" spans="1:6" x14ac:dyDescent="0.3">
      <c r="A297" s="6">
        <v>296</v>
      </c>
      <c r="B297" s="3">
        <v>45953</v>
      </c>
      <c r="C297" s="1" t="s">
        <v>72</v>
      </c>
      <c r="D297" s="1">
        <v>10</v>
      </c>
      <c r="E297" s="1" t="s">
        <v>73</v>
      </c>
      <c r="F297" s="7">
        <v>2025</v>
      </c>
    </row>
    <row r="298" spans="1:6" x14ac:dyDescent="0.3">
      <c r="A298" s="6">
        <v>297</v>
      </c>
      <c r="B298" s="3">
        <v>45954</v>
      </c>
      <c r="C298" s="1" t="s">
        <v>72</v>
      </c>
      <c r="D298" s="1">
        <v>10</v>
      </c>
      <c r="E298" s="1" t="s">
        <v>73</v>
      </c>
      <c r="F298" s="7">
        <v>2025</v>
      </c>
    </row>
    <row r="299" spans="1:6" x14ac:dyDescent="0.3">
      <c r="A299" s="6">
        <v>298</v>
      </c>
      <c r="B299" s="3">
        <v>45955</v>
      </c>
      <c r="C299" s="1" t="s">
        <v>72</v>
      </c>
      <c r="D299" s="1">
        <v>10</v>
      </c>
      <c r="E299" s="1" t="s">
        <v>73</v>
      </c>
      <c r="F299" s="7">
        <v>2025</v>
      </c>
    </row>
    <row r="300" spans="1:6" x14ac:dyDescent="0.3">
      <c r="A300" s="6">
        <v>299</v>
      </c>
      <c r="B300" s="3">
        <v>45956</v>
      </c>
      <c r="C300" s="1" t="s">
        <v>72</v>
      </c>
      <c r="D300" s="1">
        <v>10</v>
      </c>
      <c r="E300" s="1" t="s">
        <v>73</v>
      </c>
      <c r="F300" s="7">
        <v>2025</v>
      </c>
    </row>
    <row r="301" spans="1:6" x14ac:dyDescent="0.3">
      <c r="A301" s="6">
        <v>300</v>
      </c>
      <c r="B301" s="3">
        <v>45957</v>
      </c>
      <c r="C301" s="1" t="s">
        <v>72</v>
      </c>
      <c r="D301" s="1">
        <v>10</v>
      </c>
      <c r="E301" s="1" t="s">
        <v>73</v>
      </c>
      <c r="F301" s="7">
        <v>2025</v>
      </c>
    </row>
    <row r="302" spans="1:6" x14ac:dyDescent="0.3">
      <c r="A302" s="6">
        <v>301</v>
      </c>
      <c r="B302" s="3">
        <v>45958</v>
      </c>
      <c r="C302" s="1" t="s">
        <v>72</v>
      </c>
      <c r="D302" s="1">
        <v>10</v>
      </c>
      <c r="E302" s="1" t="s">
        <v>73</v>
      </c>
      <c r="F302" s="7">
        <v>2025</v>
      </c>
    </row>
    <row r="303" spans="1:6" x14ac:dyDescent="0.3">
      <c r="A303" s="6">
        <v>302</v>
      </c>
      <c r="B303" s="3">
        <v>45959</v>
      </c>
      <c r="C303" s="1" t="s">
        <v>72</v>
      </c>
      <c r="D303" s="1">
        <v>10</v>
      </c>
      <c r="E303" s="1" t="s">
        <v>73</v>
      </c>
      <c r="F303" s="7">
        <v>2025</v>
      </c>
    </row>
    <row r="304" spans="1:6" x14ac:dyDescent="0.3">
      <c r="A304" s="6">
        <v>303</v>
      </c>
      <c r="B304" s="3">
        <v>45960</v>
      </c>
      <c r="C304" s="1" t="s">
        <v>72</v>
      </c>
      <c r="D304" s="1">
        <v>10</v>
      </c>
      <c r="E304" s="1" t="s">
        <v>73</v>
      </c>
      <c r="F304" s="7">
        <v>2025</v>
      </c>
    </row>
    <row r="305" spans="1:6" x14ac:dyDescent="0.3">
      <c r="A305" s="6">
        <v>304</v>
      </c>
      <c r="B305" s="3">
        <v>45961</v>
      </c>
      <c r="C305" s="1" t="s">
        <v>72</v>
      </c>
      <c r="D305" s="1">
        <v>10</v>
      </c>
      <c r="E305" s="1" t="s">
        <v>73</v>
      </c>
      <c r="F305" s="7">
        <v>2025</v>
      </c>
    </row>
    <row r="306" spans="1:6" x14ac:dyDescent="0.3">
      <c r="A306" s="6">
        <v>305</v>
      </c>
      <c r="B306" s="3">
        <v>45962</v>
      </c>
      <c r="C306" s="1" t="s">
        <v>74</v>
      </c>
      <c r="D306" s="1">
        <v>11</v>
      </c>
      <c r="E306" s="1" t="s">
        <v>73</v>
      </c>
      <c r="F306" s="7">
        <v>2025</v>
      </c>
    </row>
    <row r="307" spans="1:6" x14ac:dyDescent="0.3">
      <c r="A307" s="6">
        <v>306</v>
      </c>
      <c r="B307" s="3">
        <v>45963</v>
      </c>
      <c r="C307" s="1" t="s">
        <v>74</v>
      </c>
      <c r="D307" s="1">
        <v>11</v>
      </c>
      <c r="E307" s="1" t="s">
        <v>73</v>
      </c>
      <c r="F307" s="7">
        <v>2025</v>
      </c>
    </row>
    <row r="308" spans="1:6" x14ac:dyDescent="0.3">
      <c r="A308" s="6">
        <v>307</v>
      </c>
      <c r="B308" s="3">
        <v>45964</v>
      </c>
      <c r="C308" s="1" t="s">
        <v>74</v>
      </c>
      <c r="D308" s="1">
        <v>11</v>
      </c>
      <c r="E308" s="1" t="s">
        <v>73</v>
      </c>
      <c r="F308" s="7">
        <v>2025</v>
      </c>
    </row>
    <row r="309" spans="1:6" x14ac:dyDescent="0.3">
      <c r="A309" s="6">
        <v>308</v>
      </c>
      <c r="B309" s="3">
        <v>45965</v>
      </c>
      <c r="C309" s="1" t="s">
        <v>74</v>
      </c>
      <c r="D309" s="1">
        <v>11</v>
      </c>
      <c r="E309" s="1" t="s">
        <v>73</v>
      </c>
      <c r="F309" s="7">
        <v>2025</v>
      </c>
    </row>
    <row r="310" spans="1:6" x14ac:dyDescent="0.3">
      <c r="A310" s="6">
        <v>309</v>
      </c>
      <c r="B310" s="3">
        <v>45966</v>
      </c>
      <c r="C310" s="1" t="s">
        <v>74</v>
      </c>
      <c r="D310" s="1">
        <v>11</v>
      </c>
      <c r="E310" s="1" t="s">
        <v>73</v>
      </c>
      <c r="F310" s="7">
        <v>2025</v>
      </c>
    </row>
    <row r="311" spans="1:6" x14ac:dyDescent="0.3">
      <c r="A311" s="6">
        <v>310</v>
      </c>
      <c r="B311" s="3">
        <v>45967</v>
      </c>
      <c r="C311" s="1" t="s">
        <v>74</v>
      </c>
      <c r="D311" s="1">
        <v>11</v>
      </c>
      <c r="E311" s="1" t="s">
        <v>73</v>
      </c>
      <c r="F311" s="7">
        <v>2025</v>
      </c>
    </row>
    <row r="312" spans="1:6" x14ac:dyDescent="0.3">
      <c r="A312" s="6">
        <v>311</v>
      </c>
      <c r="B312" s="3">
        <v>45968</v>
      </c>
      <c r="C312" s="1" t="s">
        <v>74</v>
      </c>
      <c r="D312" s="1">
        <v>11</v>
      </c>
      <c r="E312" s="1" t="s">
        <v>73</v>
      </c>
      <c r="F312" s="7">
        <v>2025</v>
      </c>
    </row>
    <row r="313" spans="1:6" x14ac:dyDescent="0.3">
      <c r="A313" s="6">
        <v>312</v>
      </c>
      <c r="B313" s="3">
        <v>45969</v>
      </c>
      <c r="C313" s="1" t="s">
        <v>74</v>
      </c>
      <c r="D313" s="1">
        <v>11</v>
      </c>
      <c r="E313" s="1" t="s">
        <v>73</v>
      </c>
      <c r="F313" s="7">
        <v>2025</v>
      </c>
    </row>
    <row r="314" spans="1:6" x14ac:dyDescent="0.3">
      <c r="A314" s="6">
        <v>313</v>
      </c>
      <c r="B314" s="3">
        <v>45970</v>
      </c>
      <c r="C314" s="1" t="s">
        <v>74</v>
      </c>
      <c r="D314" s="1">
        <v>11</v>
      </c>
      <c r="E314" s="1" t="s">
        <v>73</v>
      </c>
      <c r="F314" s="7">
        <v>2025</v>
      </c>
    </row>
    <row r="315" spans="1:6" x14ac:dyDescent="0.3">
      <c r="A315" s="6">
        <v>314</v>
      </c>
      <c r="B315" s="3">
        <v>45971</v>
      </c>
      <c r="C315" s="1" t="s">
        <v>74</v>
      </c>
      <c r="D315" s="1">
        <v>11</v>
      </c>
      <c r="E315" s="1" t="s">
        <v>73</v>
      </c>
      <c r="F315" s="7">
        <v>2025</v>
      </c>
    </row>
    <row r="316" spans="1:6" x14ac:dyDescent="0.3">
      <c r="A316" s="6">
        <v>315</v>
      </c>
      <c r="B316" s="3">
        <v>45972</v>
      </c>
      <c r="C316" s="1" t="s">
        <v>74</v>
      </c>
      <c r="D316" s="1">
        <v>11</v>
      </c>
      <c r="E316" s="1" t="s">
        <v>73</v>
      </c>
      <c r="F316" s="7">
        <v>2025</v>
      </c>
    </row>
    <row r="317" spans="1:6" x14ac:dyDescent="0.3">
      <c r="A317" s="6">
        <v>316</v>
      </c>
      <c r="B317" s="3">
        <v>45973</v>
      </c>
      <c r="C317" s="1" t="s">
        <v>74</v>
      </c>
      <c r="D317" s="1">
        <v>11</v>
      </c>
      <c r="E317" s="1" t="s">
        <v>73</v>
      </c>
      <c r="F317" s="7">
        <v>2025</v>
      </c>
    </row>
    <row r="318" spans="1:6" x14ac:dyDescent="0.3">
      <c r="A318" s="6">
        <v>317</v>
      </c>
      <c r="B318" s="3">
        <v>45974</v>
      </c>
      <c r="C318" s="1" t="s">
        <v>74</v>
      </c>
      <c r="D318" s="1">
        <v>11</v>
      </c>
      <c r="E318" s="1" t="s">
        <v>73</v>
      </c>
      <c r="F318" s="7">
        <v>2025</v>
      </c>
    </row>
    <row r="319" spans="1:6" x14ac:dyDescent="0.3">
      <c r="A319" s="6">
        <v>318</v>
      </c>
      <c r="B319" s="3">
        <v>45975</v>
      </c>
      <c r="C319" s="1" t="s">
        <v>74</v>
      </c>
      <c r="D319" s="1">
        <v>11</v>
      </c>
      <c r="E319" s="1" t="s">
        <v>73</v>
      </c>
      <c r="F319" s="7">
        <v>2025</v>
      </c>
    </row>
    <row r="320" spans="1:6" x14ac:dyDescent="0.3">
      <c r="A320" s="6">
        <v>319</v>
      </c>
      <c r="B320" s="3">
        <v>45976</v>
      </c>
      <c r="C320" s="1" t="s">
        <v>74</v>
      </c>
      <c r="D320" s="1">
        <v>11</v>
      </c>
      <c r="E320" s="1" t="s">
        <v>73</v>
      </c>
      <c r="F320" s="7">
        <v>2025</v>
      </c>
    </row>
    <row r="321" spans="1:6" x14ac:dyDescent="0.3">
      <c r="A321" s="6">
        <v>320</v>
      </c>
      <c r="B321" s="3">
        <v>45977</v>
      </c>
      <c r="C321" s="1" t="s">
        <v>74</v>
      </c>
      <c r="D321" s="1">
        <v>11</v>
      </c>
      <c r="E321" s="1" t="s">
        <v>73</v>
      </c>
      <c r="F321" s="7">
        <v>2025</v>
      </c>
    </row>
    <row r="322" spans="1:6" x14ac:dyDescent="0.3">
      <c r="A322" s="6">
        <v>321</v>
      </c>
      <c r="B322" s="3">
        <v>45978</v>
      </c>
      <c r="C322" s="1" t="s">
        <v>74</v>
      </c>
      <c r="D322" s="1">
        <v>11</v>
      </c>
      <c r="E322" s="1" t="s">
        <v>73</v>
      </c>
      <c r="F322" s="7">
        <v>2025</v>
      </c>
    </row>
    <row r="323" spans="1:6" x14ac:dyDescent="0.3">
      <c r="A323" s="6">
        <v>322</v>
      </c>
      <c r="B323" s="3">
        <v>45979</v>
      </c>
      <c r="C323" s="1" t="s">
        <v>74</v>
      </c>
      <c r="D323" s="1">
        <v>11</v>
      </c>
      <c r="E323" s="1" t="s">
        <v>73</v>
      </c>
      <c r="F323" s="7">
        <v>2025</v>
      </c>
    </row>
    <row r="324" spans="1:6" x14ac:dyDescent="0.3">
      <c r="A324" s="6">
        <v>323</v>
      </c>
      <c r="B324" s="3">
        <v>45980</v>
      </c>
      <c r="C324" s="1" t="s">
        <v>74</v>
      </c>
      <c r="D324" s="1">
        <v>11</v>
      </c>
      <c r="E324" s="1" t="s">
        <v>73</v>
      </c>
      <c r="F324" s="7">
        <v>2025</v>
      </c>
    </row>
    <row r="325" spans="1:6" x14ac:dyDescent="0.3">
      <c r="A325" s="6">
        <v>324</v>
      </c>
      <c r="B325" s="3">
        <v>45981</v>
      </c>
      <c r="C325" s="1" t="s">
        <v>74</v>
      </c>
      <c r="D325" s="1">
        <v>11</v>
      </c>
      <c r="E325" s="1" t="s">
        <v>73</v>
      </c>
      <c r="F325" s="7">
        <v>2025</v>
      </c>
    </row>
    <row r="326" spans="1:6" x14ac:dyDescent="0.3">
      <c r="A326" s="6">
        <v>325</v>
      </c>
      <c r="B326" s="3">
        <v>45982</v>
      </c>
      <c r="C326" s="1" t="s">
        <v>74</v>
      </c>
      <c r="D326" s="1">
        <v>11</v>
      </c>
      <c r="E326" s="1" t="s">
        <v>73</v>
      </c>
      <c r="F326" s="7">
        <v>2025</v>
      </c>
    </row>
    <row r="327" spans="1:6" x14ac:dyDescent="0.3">
      <c r="A327" s="6">
        <v>326</v>
      </c>
      <c r="B327" s="3">
        <v>45983</v>
      </c>
      <c r="C327" s="1" t="s">
        <v>74</v>
      </c>
      <c r="D327" s="1">
        <v>11</v>
      </c>
      <c r="E327" s="1" t="s">
        <v>73</v>
      </c>
      <c r="F327" s="7">
        <v>2025</v>
      </c>
    </row>
    <row r="328" spans="1:6" x14ac:dyDescent="0.3">
      <c r="A328" s="6">
        <v>327</v>
      </c>
      <c r="B328" s="3">
        <v>45984</v>
      </c>
      <c r="C328" s="1" t="s">
        <v>74</v>
      </c>
      <c r="D328" s="1">
        <v>11</v>
      </c>
      <c r="E328" s="1" t="s">
        <v>73</v>
      </c>
      <c r="F328" s="7">
        <v>2025</v>
      </c>
    </row>
    <row r="329" spans="1:6" x14ac:dyDescent="0.3">
      <c r="A329" s="6">
        <v>328</v>
      </c>
      <c r="B329" s="3">
        <v>45985</v>
      </c>
      <c r="C329" s="1" t="s">
        <v>74</v>
      </c>
      <c r="D329" s="1">
        <v>11</v>
      </c>
      <c r="E329" s="1" t="s">
        <v>73</v>
      </c>
      <c r="F329" s="7">
        <v>2025</v>
      </c>
    </row>
    <row r="330" spans="1:6" x14ac:dyDescent="0.3">
      <c r="A330" s="6">
        <v>329</v>
      </c>
      <c r="B330" s="3">
        <v>45986</v>
      </c>
      <c r="C330" s="1" t="s">
        <v>74</v>
      </c>
      <c r="D330" s="1">
        <v>11</v>
      </c>
      <c r="E330" s="1" t="s">
        <v>73</v>
      </c>
      <c r="F330" s="7">
        <v>2025</v>
      </c>
    </row>
    <row r="331" spans="1:6" x14ac:dyDescent="0.3">
      <c r="A331" s="6">
        <v>330</v>
      </c>
      <c r="B331" s="3">
        <v>45987</v>
      </c>
      <c r="C331" s="1" t="s">
        <v>74</v>
      </c>
      <c r="D331" s="1">
        <v>11</v>
      </c>
      <c r="E331" s="1" t="s">
        <v>73</v>
      </c>
      <c r="F331" s="7">
        <v>2025</v>
      </c>
    </row>
    <row r="332" spans="1:6" x14ac:dyDescent="0.3">
      <c r="A332" s="6">
        <v>331</v>
      </c>
      <c r="B332" s="3">
        <v>45988</v>
      </c>
      <c r="C332" s="1" t="s">
        <v>74</v>
      </c>
      <c r="D332" s="1">
        <v>11</v>
      </c>
      <c r="E332" s="1" t="s">
        <v>73</v>
      </c>
      <c r="F332" s="7">
        <v>2025</v>
      </c>
    </row>
    <row r="333" spans="1:6" x14ac:dyDescent="0.3">
      <c r="A333" s="6">
        <v>332</v>
      </c>
      <c r="B333" s="3">
        <v>45989</v>
      </c>
      <c r="C333" s="1" t="s">
        <v>74</v>
      </c>
      <c r="D333" s="1">
        <v>11</v>
      </c>
      <c r="E333" s="1" t="s">
        <v>73</v>
      </c>
      <c r="F333" s="7">
        <v>2025</v>
      </c>
    </row>
    <row r="334" spans="1:6" x14ac:dyDescent="0.3">
      <c r="A334" s="6">
        <v>333</v>
      </c>
      <c r="B334" s="3">
        <v>45990</v>
      </c>
      <c r="C334" s="1" t="s">
        <v>74</v>
      </c>
      <c r="D334" s="1">
        <v>11</v>
      </c>
      <c r="E334" s="1" t="s">
        <v>73</v>
      </c>
      <c r="F334" s="7">
        <v>2025</v>
      </c>
    </row>
    <row r="335" spans="1:6" x14ac:dyDescent="0.3">
      <c r="A335" s="6">
        <v>334</v>
      </c>
      <c r="B335" s="3">
        <v>45991</v>
      </c>
      <c r="C335" s="1" t="s">
        <v>74</v>
      </c>
      <c r="D335" s="1">
        <v>11</v>
      </c>
      <c r="E335" s="1" t="s">
        <v>73</v>
      </c>
      <c r="F335" s="7">
        <v>2025</v>
      </c>
    </row>
    <row r="336" spans="1:6" x14ac:dyDescent="0.3">
      <c r="A336" s="6">
        <v>335</v>
      </c>
      <c r="B336" s="3">
        <v>45992</v>
      </c>
      <c r="C336" s="1" t="s">
        <v>75</v>
      </c>
      <c r="D336" s="1">
        <v>12</v>
      </c>
      <c r="E336" s="1" t="s">
        <v>73</v>
      </c>
      <c r="F336" s="7">
        <v>2025</v>
      </c>
    </row>
    <row r="337" spans="1:6" x14ac:dyDescent="0.3">
      <c r="A337" s="6">
        <v>336</v>
      </c>
      <c r="B337" s="3">
        <v>45993</v>
      </c>
      <c r="C337" s="1" t="s">
        <v>75</v>
      </c>
      <c r="D337" s="1">
        <v>12</v>
      </c>
      <c r="E337" s="1" t="s">
        <v>73</v>
      </c>
      <c r="F337" s="7">
        <v>2025</v>
      </c>
    </row>
    <row r="338" spans="1:6" x14ac:dyDescent="0.3">
      <c r="A338" s="6">
        <v>337</v>
      </c>
      <c r="B338" s="3">
        <v>45994</v>
      </c>
      <c r="C338" s="1" t="s">
        <v>75</v>
      </c>
      <c r="D338" s="1">
        <v>12</v>
      </c>
      <c r="E338" s="1" t="s">
        <v>73</v>
      </c>
      <c r="F338" s="7">
        <v>2025</v>
      </c>
    </row>
    <row r="339" spans="1:6" x14ac:dyDescent="0.3">
      <c r="A339" s="6">
        <v>338</v>
      </c>
      <c r="B339" s="3">
        <v>45995</v>
      </c>
      <c r="C339" s="1" t="s">
        <v>75</v>
      </c>
      <c r="D339" s="1">
        <v>12</v>
      </c>
      <c r="E339" s="1" t="s">
        <v>73</v>
      </c>
      <c r="F339" s="7">
        <v>2025</v>
      </c>
    </row>
    <row r="340" spans="1:6" x14ac:dyDescent="0.3">
      <c r="A340" s="6">
        <v>339</v>
      </c>
      <c r="B340" s="3">
        <v>45996</v>
      </c>
      <c r="C340" s="1" t="s">
        <v>75</v>
      </c>
      <c r="D340" s="1">
        <v>12</v>
      </c>
      <c r="E340" s="1" t="s">
        <v>73</v>
      </c>
      <c r="F340" s="7">
        <v>2025</v>
      </c>
    </row>
    <row r="341" spans="1:6" x14ac:dyDescent="0.3">
      <c r="A341" s="6">
        <v>340</v>
      </c>
      <c r="B341" s="3">
        <v>45997</v>
      </c>
      <c r="C341" s="1" t="s">
        <v>75</v>
      </c>
      <c r="D341" s="1">
        <v>12</v>
      </c>
      <c r="E341" s="1" t="s">
        <v>73</v>
      </c>
      <c r="F341" s="7">
        <v>2025</v>
      </c>
    </row>
    <row r="342" spans="1:6" x14ac:dyDescent="0.3">
      <c r="A342" s="6">
        <v>341</v>
      </c>
      <c r="B342" s="3">
        <v>45998</v>
      </c>
      <c r="C342" s="1" t="s">
        <v>75</v>
      </c>
      <c r="D342" s="1">
        <v>12</v>
      </c>
      <c r="E342" s="1" t="s">
        <v>73</v>
      </c>
      <c r="F342" s="7">
        <v>2025</v>
      </c>
    </row>
    <row r="343" spans="1:6" x14ac:dyDescent="0.3">
      <c r="A343" s="6">
        <v>342</v>
      </c>
      <c r="B343" s="3">
        <v>45999</v>
      </c>
      <c r="C343" s="1" t="s">
        <v>75</v>
      </c>
      <c r="D343" s="1">
        <v>12</v>
      </c>
      <c r="E343" s="1" t="s">
        <v>73</v>
      </c>
      <c r="F343" s="7">
        <v>2025</v>
      </c>
    </row>
    <row r="344" spans="1:6" x14ac:dyDescent="0.3">
      <c r="A344" s="6">
        <v>343</v>
      </c>
      <c r="B344" s="3">
        <v>46000</v>
      </c>
      <c r="C344" s="1" t="s">
        <v>75</v>
      </c>
      <c r="D344" s="1">
        <v>12</v>
      </c>
      <c r="E344" s="1" t="s">
        <v>73</v>
      </c>
      <c r="F344" s="7">
        <v>2025</v>
      </c>
    </row>
    <row r="345" spans="1:6" x14ac:dyDescent="0.3">
      <c r="A345" s="6">
        <v>344</v>
      </c>
      <c r="B345" s="3">
        <v>46001</v>
      </c>
      <c r="C345" s="1" t="s">
        <v>75</v>
      </c>
      <c r="D345" s="1">
        <v>12</v>
      </c>
      <c r="E345" s="1" t="s">
        <v>73</v>
      </c>
      <c r="F345" s="7">
        <v>2025</v>
      </c>
    </row>
    <row r="346" spans="1:6" x14ac:dyDescent="0.3">
      <c r="A346" s="6">
        <v>345</v>
      </c>
      <c r="B346" s="3">
        <v>46002</v>
      </c>
      <c r="C346" s="1" t="s">
        <v>75</v>
      </c>
      <c r="D346" s="1">
        <v>12</v>
      </c>
      <c r="E346" s="1" t="s">
        <v>73</v>
      </c>
      <c r="F346" s="7">
        <v>2025</v>
      </c>
    </row>
    <row r="347" spans="1:6" x14ac:dyDescent="0.3">
      <c r="A347" s="6">
        <v>346</v>
      </c>
      <c r="B347" s="3">
        <v>46003</v>
      </c>
      <c r="C347" s="1" t="s">
        <v>75</v>
      </c>
      <c r="D347" s="1">
        <v>12</v>
      </c>
      <c r="E347" s="1" t="s">
        <v>73</v>
      </c>
      <c r="F347" s="7">
        <v>2025</v>
      </c>
    </row>
    <row r="348" spans="1:6" x14ac:dyDescent="0.3">
      <c r="A348" s="6">
        <v>347</v>
      </c>
      <c r="B348" s="3">
        <v>46004</v>
      </c>
      <c r="C348" s="1" t="s">
        <v>75</v>
      </c>
      <c r="D348" s="1">
        <v>12</v>
      </c>
      <c r="E348" s="1" t="s">
        <v>73</v>
      </c>
      <c r="F348" s="7">
        <v>2025</v>
      </c>
    </row>
    <row r="349" spans="1:6" x14ac:dyDescent="0.3">
      <c r="A349" s="6">
        <v>348</v>
      </c>
      <c r="B349" s="3">
        <v>46005</v>
      </c>
      <c r="C349" s="1" t="s">
        <v>75</v>
      </c>
      <c r="D349" s="1">
        <v>12</v>
      </c>
      <c r="E349" s="1" t="s">
        <v>73</v>
      </c>
      <c r="F349" s="7">
        <v>2025</v>
      </c>
    </row>
    <row r="350" spans="1:6" x14ac:dyDescent="0.3">
      <c r="A350" s="6">
        <v>349</v>
      </c>
      <c r="B350" s="3">
        <v>46006</v>
      </c>
      <c r="C350" s="1" t="s">
        <v>75</v>
      </c>
      <c r="D350" s="1">
        <v>12</v>
      </c>
      <c r="E350" s="1" t="s">
        <v>73</v>
      </c>
      <c r="F350" s="7">
        <v>2025</v>
      </c>
    </row>
    <row r="351" spans="1:6" x14ac:dyDescent="0.3">
      <c r="A351" s="6">
        <v>350</v>
      </c>
      <c r="B351" s="3">
        <v>46007</v>
      </c>
      <c r="C351" s="1" t="s">
        <v>75</v>
      </c>
      <c r="D351" s="1">
        <v>12</v>
      </c>
      <c r="E351" s="1" t="s">
        <v>73</v>
      </c>
      <c r="F351" s="7">
        <v>2025</v>
      </c>
    </row>
    <row r="352" spans="1:6" x14ac:dyDescent="0.3">
      <c r="A352" s="6">
        <v>351</v>
      </c>
      <c r="B352" s="3">
        <v>46008</v>
      </c>
      <c r="C352" s="1" t="s">
        <v>75</v>
      </c>
      <c r="D352" s="1">
        <v>12</v>
      </c>
      <c r="E352" s="1" t="s">
        <v>73</v>
      </c>
      <c r="F352" s="7">
        <v>2025</v>
      </c>
    </row>
    <row r="353" spans="1:6" x14ac:dyDescent="0.3">
      <c r="A353" s="6">
        <v>352</v>
      </c>
      <c r="B353" s="3">
        <v>46009</v>
      </c>
      <c r="C353" s="1" t="s">
        <v>75</v>
      </c>
      <c r="D353" s="1">
        <v>12</v>
      </c>
      <c r="E353" s="1" t="s">
        <v>73</v>
      </c>
      <c r="F353" s="7">
        <v>2025</v>
      </c>
    </row>
    <row r="354" spans="1:6" x14ac:dyDescent="0.3">
      <c r="A354" s="6">
        <v>353</v>
      </c>
      <c r="B354" s="3">
        <v>46010</v>
      </c>
      <c r="C354" s="1" t="s">
        <v>75</v>
      </c>
      <c r="D354" s="1">
        <v>12</v>
      </c>
      <c r="E354" s="1" t="s">
        <v>73</v>
      </c>
      <c r="F354" s="7">
        <v>2025</v>
      </c>
    </row>
    <row r="355" spans="1:6" x14ac:dyDescent="0.3">
      <c r="A355" s="6">
        <v>354</v>
      </c>
      <c r="B355" s="3">
        <v>46011</v>
      </c>
      <c r="C355" s="1" t="s">
        <v>75</v>
      </c>
      <c r="D355" s="1">
        <v>12</v>
      </c>
      <c r="E355" s="1" t="s">
        <v>73</v>
      </c>
      <c r="F355" s="7">
        <v>2025</v>
      </c>
    </row>
    <row r="356" spans="1:6" x14ac:dyDescent="0.3">
      <c r="A356" s="6">
        <v>355</v>
      </c>
      <c r="B356" s="3">
        <v>46012</v>
      </c>
      <c r="C356" s="1" t="s">
        <v>75</v>
      </c>
      <c r="D356" s="1">
        <v>12</v>
      </c>
      <c r="E356" s="1" t="s">
        <v>73</v>
      </c>
      <c r="F356" s="7">
        <v>2025</v>
      </c>
    </row>
    <row r="357" spans="1:6" x14ac:dyDescent="0.3">
      <c r="A357" s="6">
        <v>356</v>
      </c>
      <c r="B357" s="3">
        <v>46013</v>
      </c>
      <c r="C357" s="1" t="s">
        <v>75</v>
      </c>
      <c r="D357" s="1">
        <v>12</v>
      </c>
      <c r="E357" s="1" t="s">
        <v>73</v>
      </c>
      <c r="F357" s="7">
        <v>2025</v>
      </c>
    </row>
    <row r="358" spans="1:6" x14ac:dyDescent="0.3">
      <c r="A358" s="6">
        <v>357</v>
      </c>
      <c r="B358" s="3">
        <v>46014</v>
      </c>
      <c r="C358" s="1" t="s">
        <v>75</v>
      </c>
      <c r="D358" s="1">
        <v>12</v>
      </c>
      <c r="E358" s="1" t="s">
        <v>73</v>
      </c>
      <c r="F358" s="7">
        <v>2025</v>
      </c>
    </row>
    <row r="359" spans="1:6" x14ac:dyDescent="0.3">
      <c r="A359" s="6">
        <v>358</v>
      </c>
      <c r="B359" s="3">
        <v>46015</v>
      </c>
      <c r="C359" s="1" t="s">
        <v>75</v>
      </c>
      <c r="D359" s="1">
        <v>12</v>
      </c>
      <c r="E359" s="1" t="s">
        <v>73</v>
      </c>
      <c r="F359" s="7">
        <v>2025</v>
      </c>
    </row>
    <row r="360" spans="1:6" x14ac:dyDescent="0.3">
      <c r="A360" s="6">
        <v>359</v>
      </c>
      <c r="B360" s="3">
        <v>46016</v>
      </c>
      <c r="C360" s="1" t="s">
        <v>75</v>
      </c>
      <c r="D360" s="1">
        <v>12</v>
      </c>
      <c r="E360" s="1" t="s">
        <v>73</v>
      </c>
      <c r="F360" s="7">
        <v>2025</v>
      </c>
    </row>
    <row r="361" spans="1:6" x14ac:dyDescent="0.3">
      <c r="A361" s="6">
        <v>360</v>
      </c>
      <c r="B361" s="3">
        <v>46017</v>
      </c>
      <c r="C361" s="1" t="s">
        <v>75</v>
      </c>
      <c r="D361" s="1">
        <v>12</v>
      </c>
      <c r="E361" s="1" t="s">
        <v>73</v>
      </c>
      <c r="F361" s="7">
        <v>2025</v>
      </c>
    </row>
    <row r="362" spans="1:6" x14ac:dyDescent="0.3">
      <c r="A362" s="6">
        <v>361</v>
      </c>
      <c r="B362" s="3">
        <v>46018</v>
      </c>
      <c r="C362" s="1" t="s">
        <v>75</v>
      </c>
      <c r="D362" s="1">
        <v>12</v>
      </c>
      <c r="E362" s="1" t="s">
        <v>73</v>
      </c>
      <c r="F362" s="7">
        <v>2025</v>
      </c>
    </row>
    <row r="363" spans="1:6" x14ac:dyDescent="0.3">
      <c r="A363" s="6">
        <v>362</v>
      </c>
      <c r="B363" s="3">
        <v>46019</v>
      </c>
      <c r="C363" s="1" t="s">
        <v>75</v>
      </c>
      <c r="D363" s="1">
        <v>12</v>
      </c>
      <c r="E363" s="1" t="s">
        <v>73</v>
      </c>
      <c r="F363" s="7">
        <v>2025</v>
      </c>
    </row>
    <row r="364" spans="1:6" x14ac:dyDescent="0.3">
      <c r="A364" s="6">
        <v>363</v>
      </c>
      <c r="B364" s="3">
        <v>46020</v>
      </c>
      <c r="C364" s="1" t="s">
        <v>75</v>
      </c>
      <c r="D364" s="1">
        <v>12</v>
      </c>
      <c r="E364" s="1" t="s">
        <v>73</v>
      </c>
      <c r="F364" s="7">
        <v>2025</v>
      </c>
    </row>
    <row r="365" spans="1:6" x14ac:dyDescent="0.3">
      <c r="A365" s="6">
        <v>364</v>
      </c>
      <c r="B365" s="3">
        <v>46021</v>
      </c>
      <c r="C365" s="1" t="s">
        <v>75</v>
      </c>
      <c r="D365" s="1">
        <v>12</v>
      </c>
      <c r="E365" s="1" t="s">
        <v>73</v>
      </c>
      <c r="F365" s="7">
        <v>2025</v>
      </c>
    </row>
    <row r="366" spans="1:6" x14ac:dyDescent="0.3">
      <c r="A366" s="8">
        <v>365</v>
      </c>
      <c r="B366" s="11">
        <v>46022</v>
      </c>
      <c r="C366" s="9" t="s">
        <v>75</v>
      </c>
      <c r="D366" s="9">
        <v>12</v>
      </c>
      <c r="E366" s="9" t="s">
        <v>73</v>
      </c>
      <c r="F366" s="10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StoreDim</vt:lpstr>
      <vt:lpstr>ProductDim</vt:lpstr>
      <vt:lpstr>CustomerDim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2025-12-12T07:50:59Z</dcterms:created>
  <dcterms:modified xsi:type="dcterms:W3CDTF">2025-12-13T12:54:27Z</dcterms:modified>
</cp:coreProperties>
</file>