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Data Analyst Mock\Excel\"/>
    </mc:Choice>
  </mc:AlternateContent>
  <xr:revisionPtr revIDLastSave="0" documentId="13_ncr:1_{1DB54DE5-7E39-4843-A413-6DFCA1ACC500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Instructions" sheetId="1" state="hidden" r:id="rId1"/>
    <sheet name="Student Grades" sheetId="2" r:id="rId2"/>
    <sheet name="Grade Scale" sheetId="3" r:id="rId3"/>
    <sheet name="Questions &amp; Answ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2" i="2" l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<sst xmlns="http://schemas.openxmlformats.org/spreadsheetml/2006/main" count="520" uniqueCount="295">
  <si>
    <t>EXCEL FORMULA PRACTICE WORKBOOK - STUDENT PERFORMANCE &amp; EDUCATION</t>
  </si>
  <si>
    <t>HOW TO USE THIS WORKBOOK:</t>
  </si>
  <si>
    <t>1. Review the 'Employee Data' sheet to understand the dataset</t>
  </si>
  <si>
    <t>2. Check 'Salary Bands' sheet for reference data</t>
  </si>
  <si>
    <t>3. Go to 'Questions &amp; Answers' sheet for practice problems</t>
  </si>
  <si>
    <t>4. Try solving each question on your own before checking the answer</t>
  </si>
  <si>
    <t>5. Answers are provided in Column C with green background</t>
  </si>
  <si>
    <t>IMPORTANT NOTES:</t>
  </si>
  <si>
    <t>• FILTER, SORT, SORTBY, and UNIQUE functions require Excel 365 or Excel 2021+</t>
  </si>
  <si>
    <t>• XLOOKUP requires Excel 365 or Excel 2021+ (alternative: use INDEX-MATCH)</t>
  </si>
  <si>
    <t>• For older Excel versions, some formulas may show #NAME? error</t>
  </si>
  <si>
    <t>• All other formulas (VLOOKUP, SUMIFS, COUNTIFS, IF, etc.) work in all Excel versions</t>
  </si>
  <si>
    <t>FORMULA CATEGORIES COVERED:</t>
  </si>
  <si>
    <t>✓ FILTER - Dynamic filtering of data</t>
  </si>
  <si>
    <t>✓ SORT &amp; SORTBY - Sorting data dynamically</t>
  </si>
  <si>
    <t>✓ UNIQUE - Extracting unique values</t>
  </si>
  <si>
    <t>✓ XLOOKUP - Modern lookup function</t>
  </si>
  <si>
    <t>✓ INDEX-MATCH - Traditional lookup alternative</t>
  </si>
  <si>
    <t>✓ COUNTIFS - Counting with multiple criteria</t>
  </si>
  <si>
    <t>✓ SUMIFS - Summing with multiple criteria</t>
  </si>
  <si>
    <t>✓ AVERAGEIFS - Averaging with multiple criteria</t>
  </si>
  <si>
    <t>✓ Nested IF - Complex conditional logic</t>
  </si>
  <si>
    <t>MOCK INTERVIEW TIP:</t>
  </si>
  <si>
    <t>When explaining formulas in interviews:</t>
  </si>
  <si>
    <t>1. State the purpose clearly</t>
  </si>
  <si>
    <t>2. Explain each component of the formula</t>
  </si>
  <si>
    <t>3. Mention any assumptions or data requirements</t>
  </si>
  <si>
    <t>4. Discuss alternative approaches when applicable</t>
  </si>
  <si>
    <t>Student ID</t>
  </si>
  <si>
    <t>Name</t>
  </si>
  <si>
    <t>Grade Level</t>
  </si>
  <si>
    <t>Math</t>
  </si>
  <si>
    <t>Science</t>
  </si>
  <si>
    <t>English</t>
  </si>
  <si>
    <t>History</t>
  </si>
  <si>
    <t>Physical Ed</t>
  </si>
  <si>
    <t>Total Marks</t>
  </si>
  <si>
    <t>Attendance %</t>
  </si>
  <si>
    <t>Status</t>
  </si>
  <si>
    <t>STU2002</t>
  </si>
  <si>
    <t>Casey Wilson</t>
  </si>
  <si>
    <t>9th Grade</t>
  </si>
  <si>
    <t>Active</t>
  </si>
  <si>
    <t>STU2003</t>
  </si>
  <si>
    <t>Peyton Hernandez</t>
  </si>
  <si>
    <t>STU2004</t>
  </si>
  <si>
    <t>Drew Lopez</t>
  </si>
  <si>
    <t>11th Grade</t>
  </si>
  <si>
    <t>STU2005</t>
  </si>
  <si>
    <t>Rowan Rodriguez</t>
  </si>
  <si>
    <t>STU2006</t>
  </si>
  <si>
    <t>Taylor Davis</t>
  </si>
  <si>
    <t>STU2007</t>
  </si>
  <si>
    <t>Dakota Williams</t>
  </si>
  <si>
    <t>STU2008</t>
  </si>
  <si>
    <t>River Williams</t>
  </si>
  <si>
    <t>STU2009</t>
  </si>
  <si>
    <t>River Martinez</t>
  </si>
  <si>
    <t>10th Grade</t>
  </si>
  <si>
    <t>STU2010</t>
  </si>
  <si>
    <t>Phoenix Brown</t>
  </si>
  <si>
    <t>12th Grade</t>
  </si>
  <si>
    <t>STU2011</t>
  </si>
  <si>
    <t>Alex Anderson</t>
  </si>
  <si>
    <t>STU2012</t>
  </si>
  <si>
    <t>Skyler Moore</t>
  </si>
  <si>
    <t>STU2013</t>
  </si>
  <si>
    <t>Sam Gonzalez</t>
  </si>
  <si>
    <t>STU2014</t>
  </si>
  <si>
    <t>Casey Lopez</t>
  </si>
  <si>
    <t>STU2015</t>
  </si>
  <si>
    <t>Sam Hernandez</t>
  </si>
  <si>
    <t>Inactive</t>
  </si>
  <si>
    <t>STU2016</t>
  </si>
  <si>
    <t>Taylor Moore</t>
  </si>
  <si>
    <t>STU2017</t>
  </si>
  <si>
    <t>Sage Brown</t>
  </si>
  <si>
    <t>STU2018</t>
  </si>
  <si>
    <t>Quinn Gonzalez</t>
  </si>
  <si>
    <t>STU2019</t>
  </si>
  <si>
    <t>Drew Anderson</t>
  </si>
  <si>
    <t>STU2020</t>
  </si>
  <si>
    <t>Skyler Miller</t>
  </si>
  <si>
    <t>STU2021</t>
  </si>
  <si>
    <t>River Wilson</t>
  </si>
  <si>
    <t>STU2022</t>
  </si>
  <si>
    <t>Drew Smith</t>
  </si>
  <si>
    <t>STU2023</t>
  </si>
  <si>
    <t>Drew Thomas</t>
  </si>
  <si>
    <t>STU2024</t>
  </si>
  <si>
    <t>Blake Johnson</t>
  </si>
  <si>
    <t>STU2025</t>
  </si>
  <si>
    <t>Quinn Hernandez</t>
  </si>
  <si>
    <t>STU2026</t>
  </si>
  <si>
    <t>Casey Moore</t>
  </si>
  <si>
    <t>STU2027</t>
  </si>
  <si>
    <t>Drew Miller</t>
  </si>
  <si>
    <t>STU2028</t>
  </si>
  <si>
    <t>Skyler Jackson</t>
  </si>
  <si>
    <t>STU2029</t>
  </si>
  <si>
    <t>Rowan Jackson</t>
  </si>
  <si>
    <t>STU2030</t>
  </si>
  <si>
    <t>Quinn Davis</t>
  </si>
  <si>
    <t>STU2031</t>
  </si>
  <si>
    <t>Casey Johnson</t>
  </si>
  <si>
    <t>STU2032</t>
  </si>
  <si>
    <t>Quinn Taylor</t>
  </si>
  <si>
    <t>STU2033</t>
  </si>
  <si>
    <t>Rowan Johnson</t>
  </si>
  <si>
    <t>STU2034</t>
  </si>
  <si>
    <t>Morgan Gonzalez</t>
  </si>
  <si>
    <t>STU2035</t>
  </si>
  <si>
    <t>Reese Wilson</t>
  </si>
  <si>
    <t>STU2036</t>
  </si>
  <si>
    <t>Blake Hernandez</t>
  </si>
  <si>
    <t>STU2037</t>
  </si>
  <si>
    <t>Alex Wilson</t>
  </si>
  <si>
    <t>STU2038</t>
  </si>
  <si>
    <t>Avery Jones</t>
  </si>
  <si>
    <t>STU2039</t>
  </si>
  <si>
    <t>Alex Garcia</t>
  </si>
  <si>
    <t>STU2040</t>
  </si>
  <si>
    <t>Sage Martin</t>
  </si>
  <si>
    <t>STU2041</t>
  </si>
  <si>
    <t>Morgan Jackson</t>
  </si>
  <si>
    <t>STU2042</t>
  </si>
  <si>
    <t>Cameron Anderson</t>
  </si>
  <si>
    <t>STU2043</t>
  </si>
  <si>
    <t>Taylor Miller</t>
  </si>
  <si>
    <t>STU2044</t>
  </si>
  <si>
    <t>Blake Davis</t>
  </si>
  <si>
    <t>STU2045</t>
  </si>
  <si>
    <t>STU2046</t>
  </si>
  <si>
    <t>Cameron Gonzalez</t>
  </si>
  <si>
    <t>STU2047</t>
  </si>
  <si>
    <t>Sage Gonzalez</t>
  </si>
  <si>
    <t>STU2048</t>
  </si>
  <si>
    <t>Quinn Miller</t>
  </si>
  <si>
    <t>STU2049</t>
  </si>
  <si>
    <t>Rowan Garcia</t>
  </si>
  <si>
    <t>STU2050</t>
  </si>
  <si>
    <t>Sam Jones</t>
  </si>
  <si>
    <t>STU2051</t>
  </si>
  <si>
    <t>Casey Gonzalez</t>
  </si>
  <si>
    <t>STU2052</t>
  </si>
  <si>
    <t>Quinn Lopez</t>
  </si>
  <si>
    <t>STU2053</t>
  </si>
  <si>
    <t>Cameron Williams</t>
  </si>
  <si>
    <t>STU2054</t>
  </si>
  <si>
    <t>STU2055</t>
  </si>
  <si>
    <t>Casey Martin</t>
  </si>
  <si>
    <t>STU2056</t>
  </si>
  <si>
    <t>Avery Martinez</t>
  </si>
  <si>
    <t>STU2057</t>
  </si>
  <si>
    <t>Riley Brown</t>
  </si>
  <si>
    <t>STU2058</t>
  </si>
  <si>
    <t>STU2059</t>
  </si>
  <si>
    <t>River Thomas</t>
  </si>
  <si>
    <t>STU2060</t>
  </si>
  <si>
    <t>Blake Brown</t>
  </si>
  <si>
    <t>STU2061</t>
  </si>
  <si>
    <t>Cameron Martinez</t>
  </si>
  <si>
    <t>STU2062</t>
  </si>
  <si>
    <t>Taylor Anderson</t>
  </si>
  <si>
    <t>STU2063</t>
  </si>
  <si>
    <t>Reese Gonzalez</t>
  </si>
  <si>
    <t>STU2064</t>
  </si>
  <si>
    <t>Riley Hernandez</t>
  </si>
  <si>
    <t>STU2065</t>
  </si>
  <si>
    <t>Phoenix Martin</t>
  </si>
  <si>
    <t>STU2066</t>
  </si>
  <si>
    <t>Taylor Smith</t>
  </si>
  <si>
    <t>STU2067</t>
  </si>
  <si>
    <t>Peyton Davis</t>
  </si>
  <si>
    <t>STU2068</t>
  </si>
  <si>
    <t>STU2069</t>
  </si>
  <si>
    <t>Jordan Anderson</t>
  </si>
  <si>
    <t>STU2070</t>
  </si>
  <si>
    <t>STU2071</t>
  </si>
  <si>
    <t>STU2072</t>
  </si>
  <si>
    <t>River Miller</t>
  </si>
  <si>
    <t>STU2073</t>
  </si>
  <si>
    <t>Taylor Martin</t>
  </si>
  <si>
    <t>STU2074</t>
  </si>
  <si>
    <t>Skyler Williams</t>
  </si>
  <si>
    <t>STU2075</t>
  </si>
  <si>
    <t>Sage Johnson</t>
  </si>
  <si>
    <t>STU2076</t>
  </si>
  <si>
    <t>Jordan Brown</t>
  </si>
  <si>
    <t>STU2077</t>
  </si>
  <si>
    <t>STU2078</t>
  </si>
  <si>
    <t>Alex Taylor</t>
  </si>
  <si>
    <t>STU2079</t>
  </si>
  <si>
    <t>STU2080</t>
  </si>
  <si>
    <t>Sam Jackson</t>
  </si>
  <si>
    <t>STU2081</t>
  </si>
  <si>
    <t>STU2082</t>
  </si>
  <si>
    <t>Avery Wilson</t>
  </si>
  <si>
    <t>STU2083</t>
  </si>
  <si>
    <t>Casey Hernandez</t>
  </si>
  <si>
    <t>STU2084</t>
  </si>
  <si>
    <t>STU2085</t>
  </si>
  <si>
    <t>Alex Smith</t>
  </si>
  <si>
    <t>STU2086</t>
  </si>
  <si>
    <t>Taylor Martinez</t>
  </si>
  <si>
    <t>STU2087</t>
  </si>
  <si>
    <t>STU2088</t>
  </si>
  <si>
    <t>Alex Williams</t>
  </si>
  <si>
    <t>STU2089</t>
  </si>
  <si>
    <t>Sam Thomas</t>
  </si>
  <si>
    <t>STU2090</t>
  </si>
  <si>
    <t>Morgan Taylor</t>
  </si>
  <si>
    <t>STU2091</t>
  </si>
  <si>
    <t>Alex Martinez</t>
  </si>
  <si>
    <t>STU2092</t>
  </si>
  <si>
    <t>Sage Garcia</t>
  </si>
  <si>
    <t>STU2093</t>
  </si>
  <si>
    <t>STU2094</t>
  </si>
  <si>
    <t>Dakota Martinez</t>
  </si>
  <si>
    <t>STU2095</t>
  </si>
  <si>
    <t>Phoenix Lopez</t>
  </si>
  <si>
    <t>STU2096</t>
  </si>
  <si>
    <t>Avery Martin</t>
  </si>
  <si>
    <t>STU2097</t>
  </si>
  <si>
    <t>Alex Hernandez</t>
  </si>
  <si>
    <t>STU2098</t>
  </si>
  <si>
    <t>Sam Lopez</t>
  </si>
  <si>
    <t>STU2099</t>
  </si>
  <si>
    <t>Taylor Lopez</t>
  </si>
  <si>
    <t>STU2100</t>
  </si>
  <si>
    <t>Sam Martinez</t>
  </si>
  <si>
    <t>STU2101</t>
  </si>
  <si>
    <t>Jordan Martinez</t>
  </si>
  <si>
    <t>Grade</t>
  </si>
  <si>
    <t>Min Marks</t>
  </si>
  <si>
    <t>Max Marks</t>
  </si>
  <si>
    <t>A+</t>
  </si>
  <si>
    <t>A</t>
  </si>
  <si>
    <t>B+</t>
  </si>
  <si>
    <t>B</t>
  </si>
  <si>
    <t>C</t>
  </si>
  <si>
    <t>F</t>
  </si>
  <si>
    <t>COUNTIF &amp; COUNTIFS QUESTIONS</t>
  </si>
  <si>
    <t>Q1</t>
  </si>
  <si>
    <t>Count how many students scored above 90 in Math using COUNTIF</t>
  </si>
  <si>
    <t>Answer:</t>
  </si>
  <si>
    <t>Q2</t>
  </si>
  <si>
    <t>Count students in '12th Grade' with attendance &gt;= 85% using COUNTIFS</t>
  </si>
  <si>
    <t>SUMIF &amp; SUMIFS QUESTIONS</t>
  </si>
  <si>
    <t>Q3</t>
  </si>
  <si>
    <t>Calculate total Math marks for '11th Grade' students using SUMIF</t>
  </si>
  <si>
    <t>Q4</t>
  </si>
  <si>
    <t>Sum Science marks for 'Active' students in '10th Grade' using SUMIFS</t>
  </si>
  <si>
    <t>AVERAGEIF &amp; AVERAGEIFS QUESTIONS</t>
  </si>
  <si>
    <t>Q5</t>
  </si>
  <si>
    <t>Calculate average English marks for '12th Grade' using AVERAGEIF</t>
  </si>
  <si>
    <t>Q6</t>
  </si>
  <si>
    <t>Average Total Marks for students with attendance &gt; 90% using AVERAGEIF</t>
  </si>
  <si>
    <t>NESTED IF QUESTIONS</t>
  </si>
  <si>
    <t>Q7</t>
  </si>
  <si>
    <t>Create grade formula: &gt;=90='A+', &gt;=80='A', &gt;=70='B+', &gt;=60='B', &gt;=50='C', else='F'</t>
  </si>
  <si>
    <t>Answer (for Math in row 2):</t>
  </si>
  <si>
    <t>Q8</t>
  </si>
  <si>
    <t>Performance status: Total&gt;450='Outstanding', &gt;400='Excellent', &gt;350='Good', else='Needs Improvement'</t>
  </si>
  <si>
    <t>Answer (for row 2):</t>
  </si>
  <si>
    <t>VLOOKUP &amp; XLOOKUP QUESTIONS</t>
  </si>
  <si>
    <t>Q9</t>
  </si>
  <si>
    <t>Find the Grade for 75 marks using VLOOKUP on Grade Scale sheet</t>
  </si>
  <si>
    <t>Note:</t>
  </si>
  <si>
    <t>Use approximate match (TRUE) for grade ranges</t>
  </si>
  <si>
    <t>Q10</t>
  </si>
  <si>
    <t>Find History marks for student 'STU2025' using XLOOKUP</t>
  </si>
  <si>
    <t>SUBTOTAL QUESTIONS</t>
  </si>
  <si>
    <t>Q11</t>
  </si>
  <si>
    <t>Use SUBTOTAL to calculate average of Math marks (use function 1 for AVERAGE)</t>
  </si>
  <si>
    <t>SUBTOTAL function 1 = AVERAGE, works with filtered data</t>
  </si>
  <si>
    <t>Q12</t>
  </si>
  <si>
    <t>Use SUBTOTAL to count non-empty cells in Name column (use function 3)</t>
  </si>
  <si>
    <t>SUBTOTAL function 3 = COUNTA</t>
  </si>
  <si>
    <t>FILTER &amp; UNIQUE QUESTIONS</t>
  </si>
  <si>
    <t>Q13</t>
  </si>
  <si>
    <t>Filter students who scored &gt;85 in both Math AND Science</t>
  </si>
  <si>
    <t>Q14</t>
  </si>
  <si>
    <t>Get unique list of Grade Levels using UNIQUE</t>
  </si>
  <si>
    <t>Answers</t>
  </si>
  <si>
    <t>Criteria 1</t>
  </si>
  <si>
    <t>Criteria 2</t>
  </si>
  <si>
    <t>12Th Grade</t>
  </si>
  <si>
    <t>11Th Grade</t>
  </si>
  <si>
    <t>Math Marks</t>
  </si>
  <si>
    <t>Grades</t>
  </si>
  <si>
    <t>Performance Status</t>
  </si>
  <si>
    <t>Subtotal ( Average)</t>
  </si>
  <si>
    <t>Subtotal (CountA )</t>
  </si>
  <si>
    <t>Unique Grade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</si>
</sst>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i/>
      <sz val="11"/>
      <color rgb="FF0070C0"/>
      <name val="Cambria"/>
      <charset val="1"/>
    </font>
    <font>
      <b/>
      <sz val="14"/>
      <color rgb="FFFFFFFF"/>
      <name val="Calibri"/>
    </font>
    <font>
      <b/>
      <sz val="12"/>
      <color rgb="FF1F4E78"/>
      <name val="Calibri"/>
    </font>
    <font>
      <sz val="10"/>
      <name val="Calibri"/>
    </font>
    <font>
      <b/>
      <sz val="12"/>
      <color rgb="FFFFFFFF"/>
      <name val="Cambria"/>
      <family val="1"/>
    </font>
    <font>
      <b/>
      <sz val="11"/>
      <color theme="1"/>
      <name val="Calibri"/>
      <family val="2"/>
      <charset val="1"/>
    </font>
    <font>
      <b/>
      <i/>
      <sz val="15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5911"/>
        <bgColor rgb="FF9933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C65911"/>
        <bgColor rgb="FFC65911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/>
    <xf numFmtId="0" fontId="0" fillId="0" borderId="0" xfId="0"/>
    <xf numFmtId="0" fontId="6" fillId="0" borderId="0" xfId="0" applyFont="1"/>
    <xf numFmtId="0" fontId="7" fillId="0" borderId="0" xfId="0" applyFont="1"/>
    <xf numFmtId="0" fontId="0" fillId="6" borderId="0" xfId="0" applyFill="1"/>
    <xf numFmtId="0" fontId="0" fillId="0" borderId="0" xfId="0" applyAlignment="1"/>
    <xf numFmtId="0" fontId="1" fillId="2" borderId="0" xfId="0" applyFont="1" applyFill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 applyAlignment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5" borderId="0" xfId="0" applyFont="1" applyFill="1"/>
    <xf numFmtId="0" fontId="0" fillId="0" borderId="0" xfId="0" applyAlignme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C15" sqref="C15"/>
    </sheetView>
  </sheetViews>
  <sheetFormatPr defaultRowHeight="14.4" x14ac:dyDescent="0.3"/>
  <cols>
    <col min="1" max="1" width="85" style="1" customWidth="1"/>
  </cols>
  <sheetData>
    <row r="1" spans="1:2" ht="18" x14ac:dyDescent="0.35">
      <c r="A1" s="21" t="s">
        <v>0</v>
      </c>
      <c r="B1" s="22"/>
    </row>
    <row r="2" spans="1:2" x14ac:dyDescent="0.3">
      <c r="A2"/>
    </row>
    <row r="3" spans="1:2" ht="15.6" x14ac:dyDescent="0.3">
      <c r="A3" s="2" t="s">
        <v>1</v>
      </c>
    </row>
    <row r="4" spans="1:2" x14ac:dyDescent="0.3">
      <c r="A4" s="3" t="s">
        <v>2</v>
      </c>
    </row>
    <row r="5" spans="1:2" x14ac:dyDescent="0.3">
      <c r="A5" s="3" t="s">
        <v>3</v>
      </c>
    </row>
    <row r="6" spans="1:2" x14ac:dyDescent="0.3">
      <c r="A6" s="3" t="s">
        <v>4</v>
      </c>
    </row>
    <row r="7" spans="1:2" x14ac:dyDescent="0.3">
      <c r="A7" s="3" t="s">
        <v>5</v>
      </c>
    </row>
    <row r="8" spans="1:2" x14ac:dyDescent="0.3">
      <c r="A8" s="3" t="s">
        <v>6</v>
      </c>
    </row>
    <row r="9" spans="1:2" x14ac:dyDescent="0.3">
      <c r="A9"/>
    </row>
    <row r="10" spans="1:2" ht="15.6" x14ac:dyDescent="0.3">
      <c r="A10" s="2" t="s">
        <v>7</v>
      </c>
    </row>
    <row r="11" spans="1:2" x14ac:dyDescent="0.3">
      <c r="A11" s="4" t="s">
        <v>8</v>
      </c>
    </row>
    <row r="12" spans="1:2" x14ac:dyDescent="0.3">
      <c r="A12" s="4" t="s">
        <v>9</v>
      </c>
    </row>
    <row r="13" spans="1:2" x14ac:dyDescent="0.3">
      <c r="A13" s="4" t="s">
        <v>10</v>
      </c>
    </row>
    <row r="14" spans="1:2" x14ac:dyDescent="0.3">
      <c r="A14" s="4" t="s">
        <v>11</v>
      </c>
    </row>
    <row r="15" spans="1:2" x14ac:dyDescent="0.3">
      <c r="A15"/>
    </row>
    <row r="16" spans="1:2" ht="15.6" x14ac:dyDescent="0.3">
      <c r="A16" s="2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/>
    </row>
    <row r="27" spans="1:1" ht="15.6" x14ac:dyDescent="0.3">
      <c r="A27" s="2" t="s">
        <v>22</v>
      </c>
    </row>
    <row r="28" spans="1:1" x14ac:dyDescent="0.3">
      <c r="A28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2"/>
  <sheetViews>
    <sheetView topLeftCell="A6" zoomScaleNormal="100" workbookViewId="0">
      <selection activeCell="F15" sqref="F15"/>
    </sheetView>
  </sheetViews>
  <sheetFormatPr defaultColWidth="8.6640625" defaultRowHeight="14.4" x14ac:dyDescent="0.3"/>
  <cols>
    <col min="1" max="1" width="13" style="5" customWidth="1"/>
    <col min="2" max="2" width="23.77734375" style="5" customWidth="1"/>
    <col min="3" max="3" width="12" style="5" customWidth="1"/>
    <col min="4" max="4" width="26.88671875" style="5" bestFit="1" customWidth="1"/>
    <col min="5" max="9" width="13" style="5" customWidth="1"/>
    <col min="10" max="10" width="14.33203125" style="5" bestFit="1" customWidth="1"/>
    <col min="11" max="11" width="13" style="5" customWidth="1"/>
    <col min="12" max="13" width="21.5546875" customWidth="1"/>
  </cols>
  <sheetData>
    <row r="1" spans="1:13" s="5" customFormat="1" ht="19.8" x14ac:dyDescent="0.4">
      <c r="B1" s="20" t="s">
        <v>293</v>
      </c>
      <c r="D1" s="20" t="s">
        <v>292</v>
      </c>
    </row>
    <row r="2" spans="1:13" ht="15" customHeight="1" x14ac:dyDescent="0.3">
      <c r="A2" s="14" t="s">
        <v>28</v>
      </c>
      <c r="B2" s="14" t="s">
        <v>29</v>
      </c>
      <c r="C2" s="14" t="s">
        <v>30</v>
      </c>
      <c r="D2" s="14" t="s">
        <v>31</v>
      </c>
      <c r="E2" s="14" t="s">
        <v>32</v>
      </c>
      <c r="F2" s="14" t="s">
        <v>33</v>
      </c>
      <c r="G2" s="14" t="s">
        <v>34</v>
      </c>
      <c r="H2" s="14" t="s">
        <v>35</v>
      </c>
      <c r="I2" s="14" t="s">
        <v>36</v>
      </c>
      <c r="J2" s="14" t="s">
        <v>37</v>
      </c>
      <c r="K2" s="14" t="s">
        <v>38</v>
      </c>
      <c r="L2" s="14" t="s">
        <v>290</v>
      </c>
      <c r="M2" s="14" t="s">
        <v>291</v>
      </c>
    </row>
    <row r="3" spans="1:13" ht="15" customHeight="1" x14ac:dyDescent="0.3">
      <c r="A3" s="8" t="s">
        <v>39</v>
      </c>
      <c r="B3" s="8" t="s">
        <v>40</v>
      </c>
      <c r="C3" s="8" t="s">
        <v>41</v>
      </c>
      <c r="D3" s="8">
        <v>59</v>
      </c>
      <c r="E3" s="8">
        <v>60</v>
      </c>
      <c r="F3" s="8">
        <v>72</v>
      </c>
      <c r="G3" s="8">
        <v>53</v>
      </c>
      <c r="H3" s="8">
        <v>85</v>
      </c>
      <c r="I3" s="8">
        <f t="shared" ref="I3:I34" si="0">SUM(D3:H3)</f>
        <v>329</v>
      </c>
      <c r="J3" s="15">
        <v>78</v>
      </c>
      <c r="K3" s="8" t="s">
        <v>42</v>
      </c>
      <c r="L3" s="10"/>
      <c r="M3" s="10"/>
    </row>
    <row r="4" spans="1:13" ht="15" customHeight="1" x14ac:dyDescent="0.3">
      <c r="A4" s="8" t="s">
        <v>43</v>
      </c>
      <c r="B4" s="8" t="s">
        <v>44</v>
      </c>
      <c r="C4" s="8" t="s">
        <v>41</v>
      </c>
      <c r="D4" s="8">
        <v>71</v>
      </c>
      <c r="E4" s="8">
        <v>50</v>
      </c>
      <c r="F4" s="8">
        <v>67</v>
      </c>
      <c r="G4" s="8">
        <v>91</v>
      </c>
      <c r="H4" s="8">
        <v>54</v>
      </c>
      <c r="I4" s="8">
        <f t="shared" si="0"/>
        <v>333</v>
      </c>
      <c r="J4" s="15">
        <v>96</v>
      </c>
      <c r="K4" s="8" t="s">
        <v>42</v>
      </c>
      <c r="L4" s="10"/>
      <c r="M4" s="10"/>
    </row>
    <row r="5" spans="1:13" ht="15" customHeight="1" x14ac:dyDescent="0.3">
      <c r="A5" s="8" t="s">
        <v>45</v>
      </c>
      <c r="B5" s="8" t="s">
        <v>46</v>
      </c>
      <c r="C5" s="8" t="s">
        <v>47</v>
      </c>
      <c r="D5" s="8">
        <v>72</v>
      </c>
      <c r="E5" s="8">
        <v>66</v>
      </c>
      <c r="F5" s="8">
        <v>51</v>
      </c>
      <c r="G5" s="8">
        <v>60</v>
      </c>
      <c r="H5" s="8">
        <v>94</v>
      </c>
      <c r="I5" s="8">
        <f t="shared" si="0"/>
        <v>343</v>
      </c>
      <c r="J5" s="15">
        <v>93</v>
      </c>
      <c r="K5" s="8" t="s">
        <v>42</v>
      </c>
      <c r="L5" s="10"/>
      <c r="M5" s="10"/>
    </row>
    <row r="6" spans="1:13" ht="15" customHeight="1" x14ac:dyDescent="0.3">
      <c r="A6" s="8" t="s">
        <v>48</v>
      </c>
      <c r="B6" s="8" t="s">
        <v>49</v>
      </c>
      <c r="C6" s="8" t="s">
        <v>47</v>
      </c>
      <c r="D6" s="8">
        <v>41</v>
      </c>
      <c r="E6" s="8">
        <v>75</v>
      </c>
      <c r="F6" s="8">
        <v>63</v>
      </c>
      <c r="G6" s="8">
        <v>64</v>
      </c>
      <c r="H6" s="8">
        <v>56</v>
      </c>
      <c r="I6" s="8">
        <f t="shared" si="0"/>
        <v>299</v>
      </c>
      <c r="J6" s="15">
        <v>79</v>
      </c>
      <c r="K6" s="8" t="s">
        <v>42</v>
      </c>
      <c r="L6" s="10"/>
      <c r="M6" s="10"/>
    </row>
    <row r="7" spans="1:13" ht="15" customHeight="1" x14ac:dyDescent="0.3">
      <c r="A7" s="8" t="s">
        <v>50</v>
      </c>
      <c r="B7" s="8" t="s">
        <v>51</v>
      </c>
      <c r="C7" s="8" t="s">
        <v>41</v>
      </c>
      <c r="D7" s="8">
        <v>46</v>
      </c>
      <c r="E7" s="8">
        <v>49</v>
      </c>
      <c r="F7" s="8">
        <v>51</v>
      </c>
      <c r="G7" s="8">
        <v>80</v>
      </c>
      <c r="H7" s="8">
        <v>60</v>
      </c>
      <c r="I7" s="8">
        <f t="shared" si="0"/>
        <v>286</v>
      </c>
      <c r="J7" s="15">
        <v>94</v>
      </c>
      <c r="K7" s="8" t="s">
        <v>42</v>
      </c>
      <c r="L7" s="10"/>
      <c r="M7" s="10"/>
    </row>
    <row r="8" spans="1:13" ht="15" customHeight="1" x14ac:dyDescent="0.3">
      <c r="A8" s="8" t="s">
        <v>52</v>
      </c>
      <c r="B8" s="8" t="s">
        <v>53</v>
      </c>
      <c r="C8" s="8" t="s">
        <v>47</v>
      </c>
      <c r="D8" s="8">
        <v>95</v>
      </c>
      <c r="E8" s="8">
        <v>42</v>
      </c>
      <c r="F8" s="8">
        <v>40</v>
      </c>
      <c r="G8" s="8">
        <v>90</v>
      </c>
      <c r="H8" s="8">
        <v>100</v>
      </c>
      <c r="I8" s="8">
        <f t="shared" si="0"/>
        <v>367</v>
      </c>
      <c r="J8" s="15">
        <v>97</v>
      </c>
      <c r="K8" s="8" t="s">
        <v>42</v>
      </c>
      <c r="L8" s="10"/>
      <c r="M8" s="10"/>
    </row>
    <row r="9" spans="1:13" ht="15" customHeight="1" x14ac:dyDescent="0.3">
      <c r="A9" s="8" t="s">
        <v>54</v>
      </c>
      <c r="B9" s="8" t="s">
        <v>55</v>
      </c>
      <c r="C9" s="8" t="s">
        <v>41</v>
      </c>
      <c r="D9" s="8">
        <v>64</v>
      </c>
      <c r="E9" s="8">
        <v>82</v>
      </c>
      <c r="F9" s="8">
        <v>68</v>
      </c>
      <c r="G9" s="8">
        <v>75</v>
      </c>
      <c r="H9" s="8">
        <v>56</v>
      </c>
      <c r="I9" s="8">
        <f t="shared" si="0"/>
        <v>345</v>
      </c>
      <c r="J9" s="15">
        <v>89</v>
      </c>
      <c r="K9" s="8" t="s">
        <v>42</v>
      </c>
      <c r="L9" s="10"/>
      <c r="M9" s="10"/>
    </row>
    <row r="10" spans="1:13" ht="15" customHeight="1" x14ac:dyDescent="0.3">
      <c r="A10" s="8" t="s">
        <v>56</v>
      </c>
      <c r="B10" s="8" t="s">
        <v>57</v>
      </c>
      <c r="C10" s="8" t="s">
        <v>58</v>
      </c>
      <c r="D10" s="8">
        <v>72</v>
      </c>
      <c r="E10" s="8">
        <v>49</v>
      </c>
      <c r="F10" s="8">
        <v>69</v>
      </c>
      <c r="G10" s="8">
        <v>54</v>
      </c>
      <c r="H10" s="8">
        <v>89</v>
      </c>
      <c r="I10" s="8">
        <f t="shared" si="0"/>
        <v>333</v>
      </c>
      <c r="J10" s="15">
        <v>99</v>
      </c>
      <c r="K10" s="8" t="s">
        <v>42</v>
      </c>
      <c r="L10" s="10"/>
      <c r="M10" s="10"/>
    </row>
    <row r="11" spans="1:13" ht="15" customHeight="1" x14ac:dyDescent="0.3">
      <c r="A11" s="8" t="s">
        <v>59</v>
      </c>
      <c r="B11" s="8" t="s">
        <v>60</v>
      </c>
      <c r="C11" s="8" t="s">
        <v>61</v>
      </c>
      <c r="D11" s="8">
        <v>56</v>
      </c>
      <c r="E11" s="8">
        <v>99</v>
      </c>
      <c r="F11" s="8">
        <v>42</v>
      </c>
      <c r="G11" s="8">
        <v>96</v>
      </c>
      <c r="H11" s="8">
        <v>78</v>
      </c>
      <c r="I11" s="8">
        <f t="shared" si="0"/>
        <v>371</v>
      </c>
      <c r="J11" s="15">
        <v>90</v>
      </c>
      <c r="K11" s="8" t="s">
        <v>42</v>
      </c>
      <c r="L11" s="10"/>
      <c r="M11" s="10"/>
    </row>
    <row r="12" spans="1:13" ht="15" customHeight="1" x14ac:dyDescent="0.3">
      <c r="A12" s="8" t="s">
        <v>62</v>
      </c>
      <c r="B12" s="8" t="s">
        <v>63</v>
      </c>
      <c r="C12" s="8" t="s">
        <v>61</v>
      </c>
      <c r="D12" s="8">
        <v>100</v>
      </c>
      <c r="E12" s="8">
        <v>41</v>
      </c>
      <c r="F12" s="8">
        <v>54</v>
      </c>
      <c r="G12" s="8">
        <v>74</v>
      </c>
      <c r="H12" s="8">
        <v>78</v>
      </c>
      <c r="I12" s="8">
        <f t="shared" si="0"/>
        <v>347</v>
      </c>
      <c r="J12" s="15">
        <v>94</v>
      </c>
      <c r="K12" s="8" t="s">
        <v>42</v>
      </c>
      <c r="L12" s="10"/>
      <c r="M12" s="10"/>
    </row>
    <row r="13" spans="1:13" ht="15" customHeight="1" x14ac:dyDescent="0.3">
      <c r="A13" s="8" t="s">
        <v>64</v>
      </c>
      <c r="B13" s="8" t="s">
        <v>65</v>
      </c>
      <c r="C13" s="8" t="s">
        <v>58</v>
      </c>
      <c r="D13" s="8">
        <v>80</v>
      </c>
      <c r="E13" s="8">
        <v>67</v>
      </c>
      <c r="F13" s="8">
        <v>89</v>
      </c>
      <c r="G13" s="8">
        <v>63</v>
      </c>
      <c r="H13" s="8">
        <v>89</v>
      </c>
      <c r="I13" s="8">
        <f t="shared" si="0"/>
        <v>388</v>
      </c>
      <c r="J13" s="15">
        <v>98</v>
      </c>
      <c r="K13" s="8" t="s">
        <v>42</v>
      </c>
      <c r="L13" s="10"/>
      <c r="M13" s="10"/>
    </row>
    <row r="14" spans="1:13" ht="15" customHeight="1" x14ac:dyDescent="0.3">
      <c r="A14" s="8" t="s">
        <v>66</v>
      </c>
      <c r="B14" s="8" t="s">
        <v>67</v>
      </c>
      <c r="C14" s="8" t="s">
        <v>41</v>
      </c>
      <c r="D14" s="8">
        <v>46</v>
      </c>
      <c r="E14" s="8">
        <v>46</v>
      </c>
      <c r="F14" s="8">
        <v>41</v>
      </c>
      <c r="G14" s="8">
        <v>99</v>
      </c>
      <c r="H14" s="8">
        <v>65</v>
      </c>
      <c r="I14" s="8">
        <f t="shared" si="0"/>
        <v>297</v>
      </c>
      <c r="J14" s="15">
        <v>96</v>
      </c>
      <c r="K14" s="8" t="s">
        <v>42</v>
      </c>
      <c r="L14" s="10"/>
      <c r="M14" s="10"/>
    </row>
    <row r="15" spans="1:13" ht="15" customHeight="1" x14ac:dyDescent="0.3">
      <c r="A15" s="8" t="s">
        <v>68</v>
      </c>
      <c r="B15" s="8" t="s">
        <v>69</v>
      </c>
      <c r="C15" s="8" t="s">
        <v>47</v>
      </c>
      <c r="D15" s="8">
        <v>96</v>
      </c>
      <c r="E15" s="8">
        <v>89</v>
      </c>
      <c r="F15" s="8">
        <v>51</v>
      </c>
      <c r="G15" s="8">
        <v>88</v>
      </c>
      <c r="H15" s="8">
        <v>64</v>
      </c>
      <c r="I15" s="8">
        <f t="shared" si="0"/>
        <v>388</v>
      </c>
      <c r="J15" s="15">
        <v>83</v>
      </c>
      <c r="K15" s="8" t="s">
        <v>42</v>
      </c>
      <c r="L15" s="10"/>
      <c r="M15" s="10"/>
    </row>
    <row r="16" spans="1:13" ht="15" customHeight="1" x14ac:dyDescent="0.3">
      <c r="A16" s="8" t="s">
        <v>70</v>
      </c>
      <c r="B16" s="8" t="s">
        <v>71</v>
      </c>
      <c r="C16" s="8" t="s">
        <v>41</v>
      </c>
      <c r="D16" s="8">
        <v>80</v>
      </c>
      <c r="E16" s="8">
        <v>54</v>
      </c>
      <c r="F16" s="8">
        <v>88</v>
      </c>
      <c r="G16" s="8">
        <v>56</v>
      </c>
      <c r="H16" s="8">
        <v>50</v>
      </c>
      <c r="I16" s="8">
        <f t="shared" si="0"/>
        <v>328</v>
      </c>
      <c r="J16" s="15">
        <v>89</v>
      </c>
      <c r="K16" s="8" t="s">
        <v>72</v>
      </c>
      <c r="L16" s="10"/>
      <c r="M16" s="10"/>
    </row>
    <row r="17" spans="1:13" ht="15" customHeight="1" x14ac:dyDescent="0.3">
      <c r="A17" s="8" t="s">
        <v>73</v>
      </c>
      <c r="B17" s="8" t="s">
        <v>74</v>
      </c>
      <c r="C17" s="8" t="s">
        <v>58</v>
      </c>
      <c r="D17" s="8">
        <v>49</v>
      </c>
      <c r="E17" s="8">
        <v>96</v>
      </c>
      <c r="F17" s="8">
        <v>57</v>
      </c>
      <c r="G17" s="8">
        <v>92</v>
      </c>
      <c r="H17" s="8">
        <v>85</v>
      </c>
      <c r="I17" s="8">
        <f t="shared" si="0"/>
        <v>379</v>
      </c>
      <c r="J17" s="15">
        <v>76</v>
      </c>
      <c r="K17" s="8" t="s">
        <v>42</v>
      </c>
      <c r="L17" s="10"/>
      <c r="M17" s="10"/>
    </row>
    <row r="18" spans="1:13" ht="15" customHeight="1" x14ac:dyDescent="0.3">
      <c r="A18" s="8" t="s">
        <v>75</v>
      </c>
      <c r="B18" s="8" t="s">
        <v>76</v>
      </c>
      <c r="C18" s="8" t="s">
        <v>47</v>
      </c>
      <c r="D18" s="8">
        <v>62</v>
      </c>
      <c r="E18" s="8">
        <v>64</v>
      </c>
      <c r="F18" s="8">
        <v>98</v>
      </c>
      <c r="G18" s="8">
        <v>56</v>
      </c>
      <c r="H18" s="8">
        <v>62</v>
      </c>
      <c r="I18" s="8">
        <f t="shared" si="0"/>
        <v>342</v>
      </c>
      <c r="J18" s="15">
        <v>91</v>
      </c>
      <c r="K18" s="8" t="s">
        <v>42</v>
      </c>
      <c r="L18" s="10"/>
      <c r="M18" s="10"/>
    </row>
    <row r="19" spans="1:13" ht="15" customHeight="1" x14ac:dyDescent="0.3">
      <c r="A19" s="8" t="s">
        <v>77</v>
      </c>
      <c r="B19" s="8" t="s">
        <v>78</v>
      </c>
      <c r="C19" s="8" t="s">
        <v>61</v>
      </c>
      <c r="D19" s="8">
        <v>93</v>
      </c>
      <c r="E19" s="8">
        <v>63</v>
      </c>
      <c r="F19" s="8">
        <v>63</v>
      </c>
      <c r="G19" s="8">
        <v>83</v>
      </c>
      <c r="H19" s="8">
        <v>99</v>
      </c>
      <c r="I19" s="8">
        <f t="shared" si="0"/>
        <v>401</v>
      </c>
      <c r="J19" s="15">
        <v>96</v>
      </c>
      <c r="K19" s="8" t="s">
        <v>42</v>
      </c>
      <c r="L19" s="10"/>
      <c r="M19" s="10"/>
    </row>
    <row r="20" spans="1:13" ht="15" customHeight="1" x14ac:dyDescent="0.3">
      <c r="A20" s="8" t="s">
        <v>79</v>
      </c>
      <c r="B20" s="8" t="s">
        <v>80</v>
      </c>
      <c r="C20" s="8" t="s">
        <v>58</v>
      </c>
      <c r="D20" s="8">
        <v>46</v>
      </c>
      <c r="E20" s="8">
        <v>57</v>
      </c>
      <c r="F20" s="8">
        <v>44</v>
      </c>
      <c r="G20" s="8">
        <v>98</v>
      </c>
      <c r="H20" s="8">
        <v>64</v>
      </c>
      <c r="I20" s="8">
        <f t="shared" si="0"/>
        <v>309</v>
      </c>
      <c r="J20" s="15">
        <v>96</v>
      </c>
      <c r="K20" s="8" t="s">
        <v>42</v>
      </c>
      <c r="L20" s="10"/>
      <c r="M20" s="10"/>
    </row>
    <row r="21" spans="1:13" ht="15" customHeight="1" x14ac:dyDescent="0.3">
      <c r="A21" s="8" t="s">
        <v>81</v>
      </c>
      <c r="B21" s="8" t="s">
        <v>82</v>
      </c>
      <c r="C21" s="8" t="s">
        <v>61</v>
      </c>
      <c r="D21" s="8">
        <v>80</v>
      </c>
      <c r="E21" s="8">
        <v>51</v>
      </c>
      <c r="F21" s="8">
        <v>89</v>
      </c>
      <c r="G21" s="8">
        <v>67</v>
      </c>
      <c r="H21" s="8">
        <v>84</v>
      </c>
      <c r="I21" s="8">
        <f t="shared" si="0"/>
        <v>371</v>
      </c>
      <c r="J21" s="15">
        <v>96</v>
      </c>
      <c r="K21" s="8" t="s">
        <v>42</v>
      </c>
      <c r="L21" s="10"/>
      <c r="M21" s="10"/>
    </row>
    <row r="22" spans="1:13" ht="15" customHeight="1" x14ac:dyDescent="0.3">
      <c r="A22" s="8" t="s">
        <v>83</v>
      </c>
      <c r="B22" s="8" t="s">
        <v>84</v>
      </c>
      <c r="C22" s="8" t="s">
        <v>61</v>
      </c>
      <c r="D22" s="8">
        <v>50</v>
      </c>
      <c r="E22" s="8">
        <v>53</v>
      </c>
      <c r="F22" s="8">
        <v>46</v>
      </c>
      <c r="G22" s="8">
        <v>93</v>
      </c>
      <c r="H22" s="8">
        <v>60</v>
      </c>
      <c r="I22" s="8">
        <f t="shared" si="0"/>
        <v>302</v>
      </c>
      <c r="J22" s="15">
        <v>99</v>
      </c>
      <c r="K22" s="8" t="s">
        <v>72</v>
      </c>
      <c r="L22" s="10"/>
      <c r="M22" s="10"/>
    </row>
    <row r="23" spans="1:13" ht="15" customHeight="1" x14ac:dyDescent="0.3">
      <c r="A23" s="8" t="s">
        <v>85</v>
      </c>
      <c r="B23" s="8" t="s">
        <v>86</v>
      </c>
      <c r="C23" s="8" t="s">
        <v>47</v>
      </c>
      <c r="D23" s="8">
        <v>87</v>
      </c>
      <c r="E23" s="8">
        <v>54</v>
      </c>
      <c r="F23" s="8">
        <v>50</v>
      </c>
      <c r="G23" s="8">
        <v>74</v>
      </c>
      <c r="H23" s="8">
        <v>64</v>
      </c>
      <c r="I23" s="8">
        <f t="shared" si="0"/>
        <v>329</v>
      </c>
      <c r="J23" s="15">
        <v>91</v>
      </c>
      <c r="K23" s="8" t="s">
        <v>42</v>
      </c>
      <c r="L23" s="10"/>
      <c r="M23" s="10"/>
    </row>
    <row r="24" spans="1:13" ht="15" customHeight="1" x14ac:dyDescent="0.3">
      <c r="A24" s="8" t="s">
        <v>87</v>
      </c>
      <c r="B24" s="8" t="s">
        <v>88</v>
      </c>
      <c r="C24" s="8" t="s">
        <v>47</v>
      </c>
      <c r="D24" s="8">
        <v>72</v>
      </c>
      <c r="E24" s="8">
        <v>79</v>
      </c>
      <c r="F24" s="8">
        <v>69</v>
      </c>
      <c r="G24" s="8">
        <v>81</v>
      </c>
      <c r="H24" s="8">
        <v>76</v>
      </c>
      <c r="I24" s="8">
        <f t="shared" si="0"/>
        <v>377</v>
      </c>
      <c r="J24" s="15">
        <v>78</v>
      </c>
      <c r="K24" s="8" t="s">
        <v>42</v>
      </c>
      <c r="L24" s="10"/>
      <c r="M24" s="10"/>
    </row>
    <row r="25" spans="1:13" ht="15" customHeight="1" x14ac:dyDescent="0.3">
      <c r="A25" s="8" t="s">
        <v>89</v>
      </c>
      <c r="B25" s="8" t="s">
        <v>90</v>
      </c>
      <c r="C25" s="8" t="s">
        <v>41</v>
      </c>
      <c r="D25" s="8">
        <v>92</v>
      </c>
      <c r="E25" s="8">
        <v>61</v>
      </c>
      <c r="F25" s="8">
        <v>84</v>
      </c>
      <c r="G25" s="8">
        <v>86</v>
      </c>
      <c r="H25" s="8">
        <v>63</v>
      </c>
      <c r="I25" s="8">
        <f t="shared" si="0"/>
        <v>386</v>
      </c>
      <c r="J25" s="15">
        <v>91</v>
      </c>
      <c r="K25" s="8" t="s">
        <v>42</v>
      </c>
      <c r="L25" s="10"/>
      <c r="M25" s="10"/>
    </row>
    <row r="26" spans="1:13" ht="15" customHeight="1" x14ac:dyDescent="0.3">
      <c r="A26" s="8" t="s">
        <v>91</v>
      </c>
      <c r="B26" s="8" t="s">
        <v>92</v>
      </c>
      <c r="C26" s="8" t="s">
        <v>47</v>
      </c>
      <c r="D26" s="8">
        <v>93</v>
      </c>
      <c r="E26" s="8">
        <v>55</v>
      </c>
      <c r="F26" s="8">
        <v>67</v>
      </c>
      <c r="G26" s="8">
        <v>91</v>
      </c>
      <c r="H26" s="8">
        <v>56</v>
      </c>
      <c r="I26" s="8">
        <f t="shared" si="0"/>
        <v>362</v>
      </c>
      <c r="J26" s="15">
        <v>94</v>
      </c>
      <c r="K26" s="8" t="s">
        <v>42</v>
      </c>
      <c r="L26" s="10"/>
      <c r="M26" s="10"/>
    </row>
    <row r="27" spans="1:13" ht="15" customHeight="1" x14ac:dyDescent="0.3">
      <c r="A27" s="8" t="s">
        <v>93</v>
      </c>
      <c r="B27" s="8" t="s">
        <v>94</v>
      </c>
      <c r="C27" s="8" t="s">
        <v>41</v>
      </c>
      <c r="D27" s="8">
        <v>76</v>
      </c>
      <c r="E27" s="8">
        <v>79</v>
      </c>
      <c r="F27" s="8">
        <v>74</v>
      </c>
      <c r="G27" s="8">
        <v>70</v>
      </c>
      <c r="H27" s="8">
        <v>84</v>
      </c>
      <c r="I27" s="8">
        <f t="shared" si="0"/>
        <v>383</v>
      </c>
      <c r="J27" s="15">
        <v>82</v>
      </c>
      <c r="K27" s="8" t="s">
        <v>42</v>
      </c>
      <c r="L27" s="10"/>
      <c r="M27" s="10"/>
    </row>
    <row r="28" spans="1:13" ht="15" customHeight="1" x14ac:dyDescent="0.3">
      <c r="A28" s="8" t="s">
        <v>95</v>
      </c>
      <c r="B28" s="8" t="s">
        <v>96</v>
      </c>
      <c r="C28" s="8" t="s">
        <v>61</v>
      </c>
      <c r="D28" s="8">
        <v>69</v>
      </c>
      <c r="E28" s="8">
        <v>92</v>
      </c>
      <c r="F28" s="8">
        <v>67</v>
      </c>
      <c r="G28" s="8">
        <v>52</v>
      </c>
      <c r="H28" s="8">
        <v>56</v>
      </c>
      <c r="I28" s="8">
        <f t="shared" si="0"/>
        <v>336</v>
      </c>
      <c r="J28" s="15">
        <v>98</v>
      </c>
      <c r="K28" s="8" t="s">
        <v>42</v>
      </c>
      <c r="L28" s="10"/>
      <c r="M28" s="10"/>
    </row>
    <row r="29" spans="1:13" ht="15" customHeight="1" x14ac:dyDescent="0.3">
      <c r="A29" s="8" t="s">
        <v>97</v>
      </c>
      <c r="B29" s="8" t="s">
        <v>98</v>
      </c>
      <c r="C29" s="8" t="s">
        <v>47</v>
      </c>
      <c r="D29" s="8">
        <v>80</v>
      </c>
      <c r="E29" s="8">
        <v>66</v>
      </c>
      <c r="F29" s="8">
        <v>82</v>
      </c>
      <c r="G29" s="8">
        <v>84</v>
      </c>
      <c r="H29" s="8">
        <v>71</v>
      </c>
      <c r="I29" s="8">
        <f t="shared" si="0"/>
        <v>383</v>
      </c>
      <c r="J29" s="15">
        <v>98</v>
      </c>
      <c r="K29" s="8" t="s">
        <v>42</v>
      </c>
      <c r="L29" s="10"/>
      <c r="M29" s="10"/>
    </row>
    <row r="30" spans="1:13" ht="15" customHeight="1" x14ac:dyDescent="0.3">
      <c r="A30" s="8" t="s">
        <v>99</v>
      </c>
      <c r="B30" s="8" t="s">
        <v>100</v>
      </c>
      <c r="C30" s="8" t="s">
        <v>47</v>
      </c>
      <c r="D30" s="8">
        <v>59</v>
      </c>
      <c r="E30" s="8">
        <v>57</v>
      </c>
      <c r="F30" s="8">
        <v>94</v>
      </c>
      <c r="G30" s="8">
        <v>71</v>
      </c>
      <c r="H30" s="8">
        <v>97</v>
      </c>
      <c r="I30" s="8">
        <f t="shared" si="0"/>
        <v>378</v>
      </c>
      <c r="J30" s="15">
        <v>97</v>
      </c>
      <c r="K30" s="8" t="s">
        <v>42</v>
      </c>
      <c r="L30" s="10"/>
      <c r="M30" s="10"/>
    </row>
    <row r="31" spans="1:13" ht="15" customHeight="1" x14ac:dyDescent="0.3">
      <c r="A31" s="8" t="s">
        <v>101</v>
      </c>
      <c r="B31" s="8" t="s">
        <v>102</v>
      </c>
      <c r="C31" s="8" t="s">
        <v>41</v>
      </c>
      <c r="D31" s="8">
        <v>53</v>
      </c>
      <c r="E31" s="8">
        <v>72</v>
      </c>
      <c r="F31" s="8">
        <v>64</v>
      </c>
      <c r="G31" s="8">
        <v>74</v>
      </c>
      <c r="H31" s="8">
        <v>78</v>
      </c>
      <c r="I31" s="8">
        <f t="shared" si="0"/>
        <v>341</v>
      </c>
      <c r="J31" s="15">
        <v>97</v>
      </c>
      <c r="K31" s="8" t="s">
        <v>42</v>
      </c>
      <c r="L31" s="10"/>
      <c r="M31" s="10"/>
    </row>
    <row r="32" spans="1:13" ht="15" customHeight="1" x14ac:dyDescent="0.3">
      <c r="A32" s="8" t="s">
        <v>103</v>
      </c>
      <c r="B32" s="8" t="s">
        <v>104</v>
      </c>
      <c r="C32" s="8" t="s">
        <v>58</v>
      </c>
      <c r="D32" s="8">
        <v>59</v>
      </c>
      <c r="E32" s="8">
        <v>53</v>
      </c>
      <c r="F32" s="8">
        <v>90</v>
      </c>
      <c r="G32" s="8">
        <v>85</v>
      </c>
      <c r="H32" s="8">
        <v>81</v>
      </c>
      <c r="I32" s="8">
        <f t="shared" si="0"/>
        <v>368</v>
      </c>
      <c r="J32" s="15">
        <v>86</v>
      </c>
      <c r="K32" s="8" t="s">
        <v>42</v>
      </c>
      <c r="L32" s="10"/>
      <c r="M32" s="10"/>
    </row>
    <row r="33" spans="1:13" ht="15" customHeight="1" x14ac:dyDescent="0.3">
      <c r="A33" s="8" t="s">
        <v>105</v>
      </c>
      <c r="B33" s="8" t="s">
        <v>106</v>
      </c>
      <c r="C33" s="8" t="s">
        <v>58</v>
      </c>
      <c r="D33" s="8">
        <v>83</v>
      </c>
      <c r="E33" s="8">
        <v>63</v>
      </c>
      <c r="F33" s="8">
        <v>82</v>
      </c>
      <c r="G33" s="8">
        <v>65</v>
      </c>
      <c r="H33" s="8">
        <v>69</v>
      </c>
      <c r="I33" s="8">
        <f t="shared" si="0"/>
        <v>362</v>
      </c>
      <c r="J33" s="15">
        <v>78</v>
      </c>
      <c r="K33" s="8" t="s">
        <v>42</v>
      </c>
      <c r="L33" s="10"/>
      <c r="M33" s="10"/>
    </row>
    <row r="34" spans="1:13" ht="15" customHeight="1" x14ac:dyDescent="0.3">
      <c r="A34" s="8" t="s">
        <v>107</v>
      </c>
      <c r="B34" s="8" t="s">
        <v>108</v>
      </c>
      <c r="C34" s="8" t="s">
        <v>58</v>
      </c>
      <c r="D34" s="8">
        <v>86</v>
      </c>
      <c r="E34" s="8">
        <v>83</v>
      </c>
      <c r="F34" s="8">
        <v>71</v>
      </c>
      <c r="G34" s="8">
        <v>78</v>
      </c>
      <c r="H34" s="8">
        <v>65</v>
      </c>
      <c r="I34" s="8">
        <f t="shared" si="0"/>
        <v>383</v>
      </c>
      <c r="J34" s="15">
        <v>94</v>
      </c>
      <c r="K34" s="8" t="s">
        <v>42</v>
      </c>
      <c r="L34" s="10"/>
      <c r="M34" s="10"/>
    </row>
    <row r="35" spans="1:13" ht="15" customHeight="1" x14ac:dyDescent="0.3">
      <c r="A35" s="8" t="s">
        <v>109</v>
      </c>
      <c r="B35" s="8" t="s">
        <v>110</v>
      </c>
      <c r="C35" s="8" t="s">
        <v>58</v>
      </c>
      <c r="D35" s="8">
        <v>82</v>
      </c>
      <c r="E35" s="8">
        <v>94</v>
      </c>
      <c r="F35" s="8">
        <v>47</v>
      </c>
      <c r="G35" s="8">
        <v>63</v>
      </c>
      <c r="H35" s="8">
        <v>65</v>
      </c>
      <c r="I35" s="8">
        <f t="shared" ref="I35:I66" si="1">SUM(D35:H35)</f>
        <v>351</v>
      </c>
      <c r="J35" s="15">
        <v>93</v>
      </c>
      <c r="K35" s="8" t="s">
        <v>42</v>
      </c>
      <c r="L35" s="10"/>
      <c r="M35" s="10"/>
    </row>
    <row r="36" spans="1:13" ht="15" customHeight="1" x14ac:dyDescent="0.3">
      <c r="A36" s="8" t="s">
        <v>111</v>
      </c>
      <c r="B36" s="8" t="s">
        <v>112</v>
      </c>
      <c r="C36" s="8" t="s">
        <v>41</v>
      </c>
      <c r="D36" s="8">
        <v>100</v>
      </c>
      <c r="E36" s="8">
        <v>85</v>
      </c>
      <c r="F36" s="8">
        <v>75</v>
      </c>
      <c r="G36" s="8">
        <v>70</v>
      </c>
      <c r="H36" s="8">
        <v>79</v>
      </c>
      <c r="I36" s="8">
        <f t="shared" si="1"/>
        <v>409</v>
      </c>
      <c r="J36" s="15">
        <v>99</v>
      </c>
      <c r="K36" s="8" t="s">
        <v>42</v>
      </c>
      <c r="L36" s="10"/>
      <c r="M36" s="10"/>
    </row>
    <row r="37" spans="1:13" ht="15" customHeight="1" x14ac:dyDescent="0.3">
      <c r="A37" s="8" t="s">
        <v>113</v>
      </c>
      <c r="B37" s="8" t="s">
        <v>114</v>
      </c>
      <c r="C37" s="8" t="s">
        <v>58</v>
      </c>
      <c r="D37" s="8">
        <v>45</v>
      </c>
      <c r="E37" s="8">
        <v>43</v>
      </c>
      <c r="F37" s="8">
        <v>80</v>
      </c>
      <c r="G37" s="8">
        <v>82</v>
      </c>
      <c r="H37" s="8">
        <v>82</v>
      </c>
      <c r="I37" s="8">
        <f t="shared" si="1"/>
        <v>332</v>
      </c>
      <c r="J37" s="15">
        <v>79</v>
      </c>
      <c r="K37" s="8" t="s">
        <v>42</v>
      </c>
      <c r="L37" s="10"/>
      <c r="M37" s="10"/>
    </row>
    <row r="38" spans="1:13" ht="15" customHeight="1" x14ac:dyDescent="0.3">
      <c r="A38" s="8" t="s">
        <v>115</v>
      </c>
      <c r="B38" s="8" t="s">
        <v>116</v>
      </c>
      <c r="C38" s="8" t="s">
        <v>61</v>
      </c>
      <c r="D38" s="8">
        <v>53</v>
      </c>
      <c r="E38" s="8">
        <v>99</v>
      </c>
      <c r="F38" s="8">
        <v>73</v>
      </c>
      <c r="G38" s="8">
        <v>77</v>
      </c>
      <c r="H38" s="8">
        <v>50</v>
      </c>
      <c r="I38" s="8">
        <f t="shared" si="1"/>
        <v>352</v>
      </c>
      <c r="J38" s="15">
        <v>85</v>
      </c>
      <c r="K38" s="8" t="s">
        <v>42</v>
      </c>
      <c r="L38" s="10"/>
      <c r="M38" s="10"/>
    </row>
    <row r="39" spans="1:13" ht="15" customHeight="1" x14ac:dyDescent="0.3">
      <c r="A39" s="8" t="s">
        <v>117</v>
      </c>
      <c r="B39" s="8" t="s">
        <v>118</v>
      </c>
      <c r="C39" s="8" t="s">
        <v>41</v>
      </c>
      <c r="D39" s="8">
        <v>49</v>
      </c>
      <c r="E39" s="8">
        <v>67</v>
      </c>
      <c r="F39" s="8">
        <v>80</v>
      </c>
      <c r="G39" s="8">
        <v>40</v>
      </c>
      <c r="H39" s="8">
        <v>54</v>
      </c>
      <c r="I39" s="8">
        <f t="shared" si="1"/>
        <v>290</v>
      </c>
      <c r="J39" s="15">
        <v>84</v>
      </c>
      <c r="K39" s="8" t="s">
        <v>42</v>
      </c>
      <c r="L39" s="10"/>
      <c r="M39" s="10"/>
    </row>
    <row r="40" spans="1:13" ht="15" customHeight="1" x14ac:dyDescent="0.3">
      <c r="A40" s="8" t="s">
        <v>119</v>
      </c>
      <c r="B40" s="8" t="s">
        <v>120</v>
      </c>
      <c r="C40" s="8" t="s">
        <v>47</v>
      </c>
      <c r="D40" s="8">
        <v>52</v>
      </c>
      <c r="E40" s="8">
        <v>90</v>
      </c>
      <c r="F40" s="8">
        <v>49</v>
      </c>
      <c r="G40" s="8">
        <v>64</v>
      </c>
      <c r="H40" s="8">
        <v>69</v>
      </c>
      <c r="I40" s="8">
        <f t="shared" si="1"/>
        <v>324</v>
      </c>
      <c r="J40" s="15">
        <v>87</v>
      </c>
      <c r="K40" s="8" t="s">
        <v>42</v>
      </c>
      <c r="L40" s="10"/>
      <c r="M40" s="10"/>
    </row>
    <row r="41" spans="1:13" ht="15" customHeight="1" x14ac:dyDescent="0.3">
      <c r="A41" s="8" t="s">
        <v>121</v>
      </c>
      <c r="B41" s="8" t="s">
        <v>122</v>
      </c>
      <c r="C41" s="8" t="s">
        <v>47</v>
      </c>
      <c r="D41" s="8">
        <v>81</v>
      </c>
      <c r="E41" s="8">
        <v>56</v>
      </c>
      <c r="F41" s="8">
        <v>89</v>
      </c>
      <c r="G41" s="8">
        <v>62</v>
      </c>
      <c r="H41" s="8">
        <v>56</v>
      </c>
      <c r="I41" s="8">
        <f t="shared" si="1"/>
        <v>344</v>
      </c>
      <c r="J41" s="15">
        <v>80</v>
      </c>
      <c r="K41" s="8" t="s">
        <v>42</v>
      </c>
      <c r="L41" s="10"/>
      <c r="M41" s="10"/>
    </row>
    <row r="42" spans="1:13" ht="15" customHeight="1" x14ac:dyDescent="0.3">
      <c r="A42" s="8" t="s">
        <v>123</v>
      </c>
      <c r="B42" s="8" t="s">
        <v>124</v>
      </c>
      <c r="C42" s="8" t="s">
        <v>58</v>
      </c>
      <c r="D42" s="8">
        <v>84</v>
      </c>
      <c r="E42" s="8">
        <v>44</v>
      </c>
      <c r="F42" s="8">
        <v>50</v>
      </c>
      <c r="G42" s="8">
        <v>65</v>
      </c>
      <c r="H42" s="8">
        <v>51</v>
      </c>
      <c r="I42" s="8">
        <f t="shared" si="1"/>
        <v>294</v>
      </c>
      <c r="J42" s="15">
        <v>79</v>
      </c>
      <c r="K42" s="8" t="s">
        <v>42</v>
      </c>
      <c r="L42" s="10"/>
      <c r="M42" s="10"/>
    </row>
    <row r="43" spans="1:13" ht="15" customHeight="1" x14ac:dyDescent="0.3">
      <c r="A43" s="8" t="s">
        <v>125</v>
      </c>
      <c r="B43" s="8" t="s">
        <v>126</v>
      </c>
      <c r="C43" s="8" t="s">
        <v>61</v>
      </c>
      <c r="D43" s="8">
        <v>91</v>
      </c>
      <c r="E43" s="8">
        <v>53</v>
      </c>
      <c r="F43" s="8">
        <v>57</v>
      </c>
      <c r="G43" s="8">
        <v>95</v>
      </c>
      <c r="H43" s="8">
        <v>70</v>
      </c>
      <c r="I43" s="8">
        <f t="shared" si="1"/>
        <v>366</v>
      </c>
      <c r="J43" s="15">
        <v>79</v>
      </c>
      <c r="K43" s="8" t="s">
        <v>42</v>
      </c>
      <c r="L43" s="10"/>
      <c r="M43" s="10"/>
    </row>
    <row r="44" spans="1:13" ht="15" customHeight="1" x14ac:dyDescent="0.3">
      <c r="A44" s="8" t="s">
        <v>127</v>
      </c>
      <c r="B44" s="8" t="s">
        <v>128</v>
      </c>
      <c r="C44" s="8" t="s">
        <v>58</v>
      </c>
      <c r="D44" s="8">
        <v>46</v>
      </c>
      <c r="E44" s="8">
        <v>53</v>
      </c>
      <c r="F44" s="8">
        <v>54</v>
      </c>
      <c r="G44" s="8">
        <v>91</v>
      </c>
      <c r="H44" s="8">
        <v>51</v>
      </c>
      <c r="I44" s="8">
        <f t="shared" si="1"/>
        <v>295</v>
      </c>
      <c r="J44" s="15">
        <v>96</v>
      </c>
      <c r="K44" s="8" t="s">
        <v>42</v>
      </c>
      <c r="L44" s="10"/>
      <c r="M44" s="10"/>
    </row>
    <row r="45" spans="1:13" ht="15" customHeight="1" x14ac:dyDescent="0.3">
      <c r="A45" s="8" t="s">
        <v>129</v>
      </c>
      <c r="B45" s="8" t="s">
        <v>130</v>
      </c>
      <c r="C45" s="8" t="s">
        <v>58</v>
      </c>
      <c r="D45" s="8">
        <v>59</v>
      </c>
      <c r="E45" s="8">
        <v>91</v>
      </c>
      <c r="F45" s="8">
        <v>94</v>
      </c>
      <c r="G45" s="8">
        <v>93</v>
      </c>
      <c r="H45" s="8">
        <v>55</v>
      </c>
      <c r="I45" s="8">
        <f t="shared" si="1"/>
        <v>392</v>
      </c>
      <c r="J45" s="15">
        <v>86</v>
      </c>
      <c r="K45" s="8" t="s">
        <v>42</v>
      </c>
      <c r="L45" s="10"/>
      <c r="M45" s="10"/>
    </row>
    <row r="46" spans="1:13" ht="15" customHeight="1" x14ac:dyDescent="0.3">
      <c r="A46" s="8" t="s">
        <v>131</v>
      </c>
      <c r="B46" s="8" t="s">
        <v>112</v>
      </c>
      <c r="C46" s="8" t="s">
        <v>47</v>
      </c>
      <c r="D46" s="8">
        <v>100</v>
      </c>
      <c r="E46" s="8">
        <v>46</v>
      </c>
      <c r="F46" s="8">
        <v>56</v>
      </c>
      <c r="G46" s="8">
        <v>44</v>
      </c>
      <c r="H46" s="8">
        <v>74</v>
      </c>
      <c r="I46" s="8">
        <f t="shared" si="1"/>
        <v>320</v>
      </c>
      <c r="J46" s="15">
        <v>89</v>
      </c>
      <c r="K46" s="8" t="s">
        <v>42</v>
      </c>
      <c r="L46" s="10"/>
      <c r="M46" s="10"/>
    </row>
    <row r="47" spans="1:13" ht="15" customHeight="1" x14ac:dyDescent="0.3">
      <c r="A47" s="8" t="s">
        <v>132</v>
      </c>
      <c r="B47" s="8" t="s">
        <v>133</v>
      </c>
      <c r="C47" s="8" t="s">
        <v>61</v>
      </c>
      <c r="D47" s="8">
        <v>86</v>
      </c>
      <c r="E47" s="8">
        <v>83</v>
      </c>
      <c r="F47" s="8">
        <v>78</v>
      </c>
      <c r="G47" s="8">
        <v>65</v>
      </c>
      <c r="H47" s="8">
        <v>82</v>
      </c>
      <c r="I47" s="8">
        <f t="shared" si="1"/>
        <v>394</v>
      </c>
      <c r="J47" s="15">
        <v>75</v>
      </c>
      <c r="K47" s="8" t="s">
        <v>42</v>
      </c>
      <c r="L47" s="10"/>
      <c r="M47" s="10"/>
    </row>
    <row r="48" spans="1:13" ht="15" customHeight="1" x14ac:dyDescent="0.3">
      <c r="A48" s="8" t="s">
        <v>134</v>
      </c>
      <c r="B48" s="8" t="s">
        <v>135</v>
      </c>
      <c r="C48" s="8" t="s">
        <v>58</v>
      </c>
      <c r="D48" s="8">
        <v>65</v>
      </c>
      <c r="E48" s="8">
        <v>58</v>
      </c>
      <c r="F48" s="8">
        <v>66</v>
      </c>
      <c r="G48" s="8">
        <v>42</v>
      </c>
      <c r="H48" s="8">
        <v>90</v>
      </c>
      <c r="I48" s="8">
        <f t="shared" si="1"/>
        <v>321</v>
      </c>
      <c r="J48" s="15">
        <v>97</v>
      </c>
      <c r="K48" s="8" t="s">
        <v>42</v>
      </c>
      <c r="L48" s="10"/>
      <c r="M48" s="10"/>
    </row>
    <row r="49" spans="1:13" ht="15" customHeight="1" x14ac:dyDescent="0.3">
      <c r="A49" s="8" t="s">
        <v>136</v>
      </c>
      <c r="B49" s="8" t="s">
        <v>137</v>
      </c>
      <c r="C49" s="8" t="s">
        <v>47</v>
      </c>
      <c r="D49" s="8">
        <v>98</v>
      </c>
      <c r="E49" s="8">
        <v>43</v>
      </c>
      <c r="F49" s="8">
        <v>61</v>
      </c>
      <c r="G49" s="8">
        <v>95</v>
      </c>
      <c r="H49" s="8">
        <v>90</v>
      </c>
      <c r="I49" s="8">
        <f t="shared" si="1"/>
        <v>387</v>
      </c>
      <c r="J49" s="15">
        <v>92</v>
      </c>
      <c r="K49" s="8" t="s">
        <v>42</v>
      </c>
      <c r="L49" s="10"/>
      <c r="M49" s="10"/>
    </row>
    <row r="50" spans="1:13" ht="15" customHeight="1" x14ac:dyDescent="0.3">
      <c r="A50" s="8" t="s">
        <v>138</v>
      </c>
      <c r="B50" s="8" t="s">
        <v>139</v>
      </c>
      <c r="C50" s="8" t="s">
        <v>58</v>
      </c>
      <c r="D50" s="8">
        <v>100</v>
      </c>
      <c r="E50" s="8">
        <v>45</v>
      </c>
      <c r="F50" s="8">
        <v>76</v>
      </c>
      <c r="G50" s="8">
        <v>67</v>
      </c>
      <c r="H50" s="8">
        <v>62</v>
      </c>
      <c r="I50" s="8">
        <f t="shared" si="1"/>
        <v>350</v>
      </c>
      <c r="J50" s="15">
        <v>78</v>
      </c>
      <c r="K50" s="8" t="s">
        <v>72</v>
      </c>
      <c r="L50" s="10"/>
      <c r="M50" s="10"/>
    </row>
    <row r="51" spans="1:13" ht="15" customHeight="1" x14ac:dyDescent="0.3">
      <c r="A51" s="8" t="s">
        <v>140</v>
      </c>
      <c r="B51" s="8" t="s">
        <v>141</v>
      </c>
      <c r="C51" s="8" t="s">
        <v>58</v>
      </c>
      <c r="D51" s="8">
        <v>45</v>
      </c>
      <c r="E51" s="8">
        <v>97</v>
      </c>
      <c r="F51" s="8">
        <v>46</v>
      </c>
      <c r="G51" s="8">
        <v>40</v>
      </c>
      <c r="H51" s="8">
        <v>64</v>
      </c>
      <c r="I51" s="8">
        <f t="shared" si="1"/>
        <v>292</v>
      </c>
      <c r="J51" s="15">
        <v>99</v>
      </c>
      <c r="K51" s="8" t="s">
        <v>42</v>
      </c>
      <c r="L51" s="10"/>
      <c r="M51" s="10"/>
    </row>
    <row r="52" spans="1:13" ht="15" customHeight="1" x14ac:dyDescent="0.3">
      <c r="A52" s="8" t="s">
        <v>142</v>
      </c>
      <c r="B52" s="8" t="s">
        <v>143</v>
      </c>
      <c r="C52" s="8" t="s">
        <v>47</v>
      </c>
      <c r="D52" s="8">
        <v>59</v>
      </c>
      <c r="E52" s="8">
        <v>96</v>
      </c>
      <c r="F52" s="8">
        <v>44</v>
      </c>
      <c r="G52" s="8">
        <v>74</v>
      </c>
      <c r="H52" s="8">
        <v>75</v>
      </c>
      <c r="I52" s="8">
        <f t="shared" si="1"/>
        <v>348</v>
      </c>
      <c r="J52" s="15">
        <v>97</v>
      </c>
      <c r="K52" s="8" t="s">
        <v>42</v>
      </c>
      <c r="L52" s="10"/>
      <c r="M52" s="10"/>
    </row>
    <row r="53" spans="1:13" ht="15" customHeight="1" x14ac:dyDescent="0.3">
      <c r="A53" s="8" t="s">
        <v>144</v>
      </c>
      <c r="B53" s="8" t="s">
        <v>145</v>
      </c>
      <c r="C53" s="8" t="s">
        <v>47</v>
      </c>
      <c r="D53" s="8">
        <v>45</v>
      </c>
      <c r="E53" s="8">
        <v>91</v>
      </c>
      <c r="F53" s="8">
        <v>54</v>
      </c>
      <c r="G53" s="8">
        <v>94</v>
      </c>
      <c r="H53" s="8">
        <v>54</v>
      </c>
      <c r="I53" s="8">
        <f t="shared" si="1"/>
        <v>338</v>
      </c>
      <c r="J53" s="15">
        <v>98</v>
      </c>
      <c r="K53" s="8" t="s">
        <v>42</v>
      </c>
      <c r="L53" s="10"/>
      <c r="M53" s="10"/>
    </row>
    <row r="54" spans="1:13" ht="15" customHeight="1" x14ac:dyDescent="0.3">
      <c r="A54" s="8" t="s">
        <v>146</v>
      </c>
      <c r="B54" s="8" t="s">
        <v>147</v>
      </c>
      <c r="C54" s="8" t="s">
        <v>61</v>
      </c>
      <c r="D54" s="8">
        <v>98</v>
      </c>
      <c r="E54" s="8">
        <v>81</v>
      </c>
      <c r="F54" s="8">
        <v>88</v>
      </c>
      <c r="G54" s="8">
        <v>83</v>
      </c>
      <c r="H54" s="8">
        <v>83</v>
      </c>
      <c r="I54" s="8">
        <f t="shared" si="1"/>
        <v>433</v>
      </c>
      <c r="J54" s="15">
        <v>85</v>
      </c>
      <c r="K54" s="8" t="s">
        <v>42</v>
      </c>
      <c r="L54" s="10"/>
      <c r="M54" s="10"/>
    </row>
    <row r="55" spans="1:13" ht="15" customHeight="1" x14ac:dyDescent="0.3">
      <c r="A55" s="8" t="s">
        <v>148</v>
      </c>
      <c r="B55" s="8" t="s">
        <v>51</v>
      </c>
      <c r="C55" s="8" t="s">
        <v>58</v>
      </c>
      <c r="D55" s="8">
        <v>76</v>
      </c>
      <c r="E55" s="8">
        <v>76</v>
      </c>
      <c r="F55" s="8">
        <v>98</v>
      </c>
      <c r="G55" s="8">
        <v>89</v>
      </c>
      <c r="H55" s="8">
        <v>63</v>
      </c>
      <c r="I55" s="8">
        <f t="shared" si="1"/>
        <v>402</v>
      </c>
      <c r="J55" s="15">
        <v>79</v>
      </c>
      <c r="K55" s="8" t="s">
        <v>42</v>
      </c>
      <c r="L55" s="10"/>
      <c r="M55" s="10"/>
    </row>
    <row r="56" spans="1:13" ht="15" customHeight="1" x14ac:dyDescent="0.3">
      <c r="A56" s="8" t="s">
        <v>149</v>
      </c>
      <c r="B56" s="8" t="s">
        <v>150</v>
      </c>
      <c r="C56" s="8" t="s">
        <v>58</v>
      </c>
      <c r="D56" s="8">
        <v>91</v>
      </c>
      <c r="E56" s="8">
        <v>82</v>
      </c>
      <c r="F56" s="8">
        <v>40</v>
      </c>
      <c r="G56" s="8">
        <v>72</v>
      </c>
      <c r="H56" s="8">
        <v>77</v>
      </c>
      <c r="I56" s="8">
        <f t="shared" si="1"/>
        <v>362</v>
      </c>
      <c r="J56" s="15">
        <v>84</v>
      </c>
      <c r="K56" s="8" t="s">
        <v>42</v>
      </c>
      <c r="L56" s="10"/>
      <c r="M56" s="10"/>
    </row>
    <row r="57" spans="1:13" ht="15" customHeight="1" x14ac:dyDescent="0.3">
      <c r="A57" s="8" t="s">
        <v>151</v>
      </c>
      <c r="B57" s="8" t="s">
        <v>152</v>
      </c>
      <c r="C57" s="8" t="s">
        <v>41</v>
      </c>
      <c r="D57" s="8">
        <v>92</v>
      </c>
      <c r="E57" s="8">
        <v>68</v>
      </c>
      <c r="F57" s="8">
        <v>49</v>
      </c>
      <c r="G57" s="8">
        <v>97</v>
      </c>
      <c r="H57" s="8">
        <v>87</v>
      </c>
      <c r="I57" s="8">
        <f t="shared" si="1"/>
        <v>393</v>
      </c>
      <c r="J57" s="15">
        <v>87</v>
      </c>
      <c r="K57" s="8" t="s">
        <v>42</v>
      </c>
      <c r="L57" s="10"/>
      <c r="M57" s="10"/>
    </row>
    <row r="58" spans="1:13" ht="15" customHeight="1" x14ac:dyDescent="0.3">
      <c r="A58" s="8" t="s">
        <v>153</v>
      </c>
      <c r="B58" s="8" t="s">
        <v>154</v>
      </c>
      <c r="C58" s="8" t="s">
        <v>58</v>
      </c>
      <c r="D58" s="8">
        <v>88</v>
      </c>
      <c r="E58" s="8">
        <v>71</v>
      </c>
      <c r="F58" s="8">
        <v>79</v>
      </c>
      <c r="G58" s="8">
        <v>70</v>
      </c>
      <c r="H58" s="8">
        <v>93</v>
      </c>
      <c r="I58" s="8">
        <f t="shared" si="1"/>
        <v>401</v>
      </c>
      <c r="J58" s="15">
        <v>96</v>
      </c>
      <c r="K58" s="8" t="s">
        <v>42</v>
      </c>
      <c r="L58" s="10"/>
      <c r="M58" s="10"/>
    </row>
    <row r="59" spans="1:13" ht="15" customHeight="1" x14ac:dyDescent="0.3">
      <c r="A59" s="8" t="s">
        <v>155</v>
      </c>
      <c r="B59" s="8" t="s">
        <v>128</v>
      </c>
      <c r="C59" s="8" t="s">
        <v>61</v>
      </c>
      <c r="D59" s="8">
        <v>58</v>
      </c>
      <c r="E59" s="8">
        <v>78</v>
      </c>
      <c r="F59" s="8">
        <v>71</v>
      </c>
      <c r="G59" s="8">
        <v>94</v>
      </c>
      <c r="H59" s="8">
        <v>50</v>
      </c>
      <c r="I59" s="8">
        <f t="shared" si="1"/>
        <v>351</v>
      </c>
      <c r="J59" s="15">
        <v>87</v>
      </c>
      <c r="K59" s="8" t="s">
        <v>42</v>
      </c>
      <c r="L59" s="10"/>
      <c r="M59" s="10"/>
    </row>
    <row r="60" spans="1:13" ht="15" customHeight="1" x14ac:dyDescent="0.3">
      <c r="A60" s="8" t="s">
        <v>156</v>
      </c>
      <c r="B60" s="8" t="s">
        <v>157</v>
      </c>
      <c r="C60" s="8" t="s">
        <v>61</v>
      </c>
      <c r="D60" s="8">
        <v>59</v>
      </c>
      <c r="E60" s="8">
        <v>70</v>
      </c>
      <c r="F60" s="8">
        <v>80</v>
      </c>
      <c r="G60" s="8">
        <v>85</v>
      </c>
      <c r="H60" s="8">
        <v>80</v>
      </c>
      <c r="I60" s="8">
        <f t="shared" si="1"/>
        <v>374</v>
      </c>
      <c r="J60" s="15">
        <v>90</v>
      </c>
      <c r="K60" s="8" t="s">
        <v>42</v>
      </c>
      <c r="L60" s="10"/>
      <c r="M60" s="10"/>
    </row>
    <row r="61" spans="1:13" ht="15" customHeight="1" x14ac:dyDescent="0.3">
      <c r="A61" s="8" t="s">
        <v>158</v>
      </c>
      <c r="B61" s="8" t="s">
        <v>159</v>
      </c>
      <c r="C61" s="8" t="s">
        <v>58</v>
      </c>
      <c r="D61" s="8">
        <v>75</v>
      </c>
      <c r="E61" s="8">
        <v>84</v>
      </c>
      <c r="F61" s="8">
        <v>97</v>
      </c>
      <c r="G61" s="8">
        <v>46</v>
      </c>
      <c r="H61" s="8">
        <v>86</v>
      </c>
      <c r="I61" s="8">
        <f t="shared" si="1"/>
        <v>388</v>
      </c>
      <c r="J61" s="15">
        <v>93</v>
      </c>
      <c r="K61" s="8" t="s">
        <v>42</v>
      </c>
      <c r="L61" s="10"/>
      <c r="M61" s="10"/>
    </row>
    <row r="62" spans="1:13" ht="15" customHeight="1" x14ac:dyDescent="0.3">
      <c r="A62" s="8" t="s">
        <v>160</v>
      </c>
      <c r="B62" s="8" t="s">
        <v>161</v>
      </c>
      <c r="C62" s="8" t="s">
        <v>58</v>
      </c>
      <c r="D62" s="8">
        <v>52</v>
      </c>
      <c r="E62" s="8">
        <v>65</v>
      </c>
      <c r="F62" s="8">
        <v>74</v>
      </c>
      <c r="G62" s="8">
        <v>85</v>
      </c>
      <c r="H62" s="8">
        <v>86</v>
      </c>
      <c r="I62" s="8">
        <f t="shared" si="1"/>
        <v>362</v>
      </c>
      <c r="J62" s="15">
        <v>78</v>
      </c>
      <c r="K62" s="8" t="s">
        <v>72</v>
      </c>
      <c r="L62" s="10"/>
      <c r="M62" s="10"/>
    </row>
    <row r="63" spans="1:13" ht="15" customHeight="1" x14ac:dyDescent="0.3">
      <c r="A63" s="8" t="s">
        <v>162</v>
      </c>
      <c r="B63" s="8" t="s">
        <v>163</v>
      </c>
      <c r="C63" s="8" t="s">
        <v>47</v>
      </c>
      <c r="D63" s="8">
        <v>46</v>
      </c>
      <c r="E63" s="8">
        <v>86</v>
      </c>
      <c r="F63" s="8">
        <v>88</v>
      </c>
      <c r="G63" s="8">
        <v>97</v>
      </c>
      <c r="H63" s="8">
        <v>82</v>
      </c>
      <c r="I63" s="8">
        <f t="shared" si="1"/>
        <v>399</v>
      </c>
      <c r="J63" s="15">
        <v>83</v>
      </c>
      <c r="K63" s="8" t="s">
        <v>42</v>
      </c>
      <c r="L63" s="10"/>
      <c r="M63" s="10"/>
    </row>
    <row r="64" spans="1:13" ht="15" customHeight="1" x14ac:dyDescent="0.3">
      <c r="A64" s="8" t="s">
        <v>164</v>
      </c>
      <c r="B64" s="8" t="s">
        <v>165</v>
      </c>
      <c r="C64" s="8" t="s">
        <v>41</v>
      </c>
      <c r="D64" s="8">
        <v>73</v>
      </c>
      <c r="E64" s="8">
        <v>68</v>
      </c>
      <c r="F64" s="8">
        <v>73</v>
      </c>
      <c r="G64" s="8">
        <v>75</v>
      </c>
      <c r="H64" s="8">
        <v>53</v>
      </c>
      <c r="I64" s="8">
        <f t="shared" si="1"/>
        <v>342</v>
      </c>
      <c r="J64" s="15">
        <v>85</v>
      </c>
      <c r="K64" s="8" t="s">
        <v>42</v>
      </c>
      <c r="L64" s="10"/>
      <c r="M64" s="10"/>
    </row>
    <row r="65" spans="1:13" ht="15" customHeight="1" x14ac:dyDescent="0.3">
      <c r="A65" s="8" t="s">
        <v>166</v>
      </c>
      <c r="B65" s="8" t="s">
        <v>167</v>
      </c>
      <c r="C65" s="8" t="s">
        <v>61</v>
      </c>
      <c r="D65" s="8">
        <v>95</v>
      </c>
      <c r="E65" s="8">
        <v>82</v>
      </c>
      <c r="F65" s="8">
        <v>55</v>
      </c>
      <c r="G65" s="8">
        <v>82</v>
      </c>
      <c r="H65" s="8">
        <v>97</v>
      </c>
      <c r="I65" s="8">
        <f t="shared" si="1"/>
        <v>411</v>
      </c>
      <c r="J65" s="15">
        <v>98</v>
      </c>
      <c r="K65" s="8" t="s">
        <v>42</v>
      </c>
      <c r="L65" s="10"/>
      <c r="M65" s="10"/>
    </row>
    <row r="66" spans="1:13" ht="15" customHeight="1" x14ac:dyDescent="0.3">
      <c r="A66" s="8" t="s">
        <v>168</v>
      </c>
      <c r="B66" s="8" t="s">
        <v>169</v>
      </c>
      <c r="C66" s="8" t="s">
        <v>47</v>
      </c>
      <c r="D66" s="8">
        <v>97</v>
      </c>
      <c r="E66" s="8">
        <v>51</v>
      </c>
      <c r="F66" s="8">
        <v>83</v>
      </c>
      <c r="G66" s="8">
        <v>96</v>
      </c>
      <c r="H66" s="8">
        <v>54</v>
      </c>
      <c r="I66" s="8">
        <f t="shared" si="1"/>
        <v>381</v>
      </c>
      <c r="J66" s="15">
        <v>90</v>
      </c>
      <c r="K66" s="8" t="s">
        <v>42</v>
      </c>
      <c r="L66" s="10"/>
      <c r="M66" s="10"/>
    </row>
    <row r="67" spans="1:13" ht="15" customHeight="1" x14ac:dyDescent="0.3">
      <c r="A67" s="8" t="s">
        <v>170</v>
      </c>
      <c r="B67" s="8" t="s">
        <v>171</v>
      </c>
      <c r="C67" s="8" t="s">
        <v>41</v>
      </c>
      <c r="D67" s="8">
        <v>84</v>
      </c>
      <c r="E67" s="8">
        <v>53</v>
      </c>
      <c r="F67" s="8">
        <v>46</v>
      </c>
      <c r="G67" s="8">
        <v>71</v>
      </c>
      <c r="H67" s="8">
        <v>61</v>
      </c>
      <c r="I67" s="8">
        <f t="shared" ref="I67:I98" si="2">SUM(D67:H67)</f>
        <v>315</v>
      </c>
      <c r="J67" s="15">
        <v>95</v>
      </c>
      <c r="K67" s="8" t="s">
        <v>42</v>
      </c>
      <c r="L67" s="10"/>
      <c r="M67" s="10"/>
    </row>
    <row r="68" spans="1:13" ht="15" customHeight="1" x14ac:dyDescent="0.3">
      <c r="A68" s="8" t="s">
        <v>172</v>
      </c>
      <c r="B68" s="8" t="s">
        <v>173</v>
      </c>
      <c r="C68" s="8" t="s">
        <v>41</v>
      </c>
      <c r="D68" s="8">
        <v>70</v>
      </c>
      <c r="E68" s="8">
        <v>57</v>
      </c>
      <c r="F68" s="8">
        <v>51</v>
      </c>
      <c r="G68" s="8">
        <v>48</v>
      </c>
      <c r="H68" s="8">
        <v>96</v>
      </c>
      <c r="I68" s="8">
        <f t="shared" si="2"/>
        <v>322</v>
      </c>
      <c r="J68" s="15">
        <v>89</v>
      </c>
      <c r="K68" s="8" t="s">
        <v>42</v>
      </c>
      <c r="L68" s="10"/>
      <c r="M68" s="10"/>
    </row>
    <row r="69" spans="1:13" ht="15" customHeight="1" x14ac:dyDescent="0.3">
      <c r="A69" s="8" t="s">
        <v>174</v>
      </c>
      <c r="B69" s="8" t="s">
        <v>57</v>
      </c>
      <c r="C69" s="8" t="s">
        <v>58</v>
      </c>
      <c r="D69" s="8">
        <v>55</v>
      </c>
      <c r="E69" s="8">
        <v>98</v>
      </c>
      <c r="F69" s="8">
        <v>67</v>
      </c>
      <c r="G69" s="8">
        <v>57</v>
      </c>
      <c r="H69" s="8">
        <v>80</v>
      </c>
      <c r="I69" s="8">
        <f t="shared" si="2"/>
        <v>357</v>
      </c>
      <c r="J69" s="15">
        <v>100</v>
      </c>
      <c r="K69" s="8" t="s">
        <v>42</v>
      </c>
      <c r="L69" s="10"/>
      <c r="M69" s="10"/>
    </row>
    <row r="70" spans="1:13" ht="15" customHeight="1" x14ac:dyDescent="0.3">
      <c r="A70" s="8" t="s">
        <v>175</v>
      </c>
      <c r="B70" s="8" t="s">
        <v>176</v>
      </c>
      <c r="C70" s="8" t="s">
        <v>58</v>
      </c>
      <c r="D70" s="8">
        <v>56</v>
      </c>
      <c r="E70" s="8">
        <v>88</v>
      </c>
      <c r="F70" s="8">
        <v>96</v>
      </c>
      <c r="G70" s="8">
        <v>80</v>
      </c>
      <c r="H70" s="8">
        <v>67</v>
      </c>
      <c r="I70" s="8">
        <f t="shared" si="2"/>
        <v>387</v>
      </c>
      <c r="J70" s="15">
        <v>100</v>
      </c>
      <c r="K70" s="8" t="s">
        <v>42</v>
      </c>
      <c r="L70" s="10"/>
      <c r="M70" s="10"/>
    </row>
    <row r="71" spans="1:13" ht="15" customHeight="1" x14ac:dyDescent="0.3">
      <c r="A71" s="8" t="s">
        <v>177</v>
      </c>
      <c r="B71" s="8" t="s">
        <v>152</v>
      </c>
      <c r="C71" s="8" t="s">
        <v>61</v>
      </c>
      <c r="D71" s="8">
        <v>83</v>
      </c>
      <c r="E71" s="8">
        <v>48</v>
      </c>
      <c r="F71" s="8">
        <v>96</v>
      </c>
      <c r="G71" s="8">
        <v>57</v>
      </c>
      <c r="H71" s="8">
        <v>82</v>
      </c>
      <c r="I71" s="8">
        <f t="shared" si="2"/>
        <v>366</v>
      </c>
      <c r="J71" s="15">
        <v>92</v>
      </c>
      <c r="K71" s="8" t="s">
        <v>42</v>
      </c>
      <c r="L71" s="10"/>
      <c r="M71" s="10"/>
    </row>
    <row r="72" spans="1:13" ht="15" customHeight="1" x14ac:dyDescent="0.3">
      <c r="A72" s="8" t="s">
        <v>178</v>
      </c>
      <c r="B72" s="8" t="s">
        <v>46</v>
      </c>
      <c r="C72" s="8" t="s">
        <v>41</v>
      </c>
      <c r="D72" s="8">
        <v>92</v>
      </c>
      <c r="E72" s="8">
        <v>85</v>
      </c>
      <c r="F72" s="8">
        <v>76</v>
      </c>
      <c r="G72" s="8">
        <v>51</v>
      </c>
      <c r="H72" s="8">
        <v>98</v>
      </c>
      <c r="I72" s="8">
        <f t="shared" si="2"/>
        <v>402</v>
      </c>
      <c r="J72" s="15">
        <v>83</v>
      </c>
      <c r="K72" s="8" t="s">
        <v>42</v>
      </c>
      <c r="L72" s="10"/>
      <c r="M72" s="10"/>
    </row>
    <row r="73" spans="1:13" ht="15" customHeight="1" x14ac:dyDescent="0.3">
      <c r="A73" s="8" t="s">
        <v>179</v>
      </c>
      <c r="B73" s="8" t="s">
        <v>180</v>
      </c>
      <c r="C73" s="8" t="s">
        <v>41</v>
      </c>
      <c r="D73" s="8">
        <v>98</v>
      </c>
      <c r="E73" s="8">
        <v>95</v>
      </c>
      <c r="F73" s="8">
        <v>56</v>
      </c>
      <c r="G73" s="8">
        <v>99</v>
      </c>
      <c r="H73" s="8">
        <v>82</v>
      </c>
      <c r="I73" s="8">
        <f t="shared" si="2"/>
        <v>430</v>
      </c>
      <c r="J73" s="15">
        <v>75</v>
      </c>
      <c r="K73" s="8" t="s">
        <v>42</v>
      </c>
      <c r="L73" s="10"/>
      <c r="M73" s="10"/>
    </row>
    <row r="74" spans="1:13" ht="15" customHeight="1" x14ac:dyDescent="0.3">
      <c r="A74" s="8" t="s">
        <v>181</v>
      </c>
      <c r="B74" s="8" t="s">
        <v>182</v>
      </c>
      <c r="C74" s="8" t="s">
        <v>47</v>
      </c>
      <c r="D74" s="8">
        <v>89</v>
      </c>
      <c r="E74" s="8">
        <v>93</v>
      </c>
      <c r="F74" s="8">
        <v>57</v>
      </c>
      <c r="G74" s="8">
        <v>81</v>
      </c>
      <c r="H74" s="8">
        <v>96</v>
      </c>
      <c r="I74" s="8">
        <f t="shared" si="2"/>
        <v>416</v>
      </c>
      <c r="J74" s="15">
        <v>94</v>
      </c>
      <c r="K74" s="8" t="s">
        <v>42</v>
      </c>
      <c r="L74" s="10"/>
      <c r="M74" s="10"/>
    </row>
    <row r="75" spans="1:13" ht="15" customHeight="1" x14ac:dyDescent="0.3">
      <c r="A75" s="8" t="s">
        <v>183</v>
      </c>
      <c r="B75" s="8" t="s">
        <v>184</v>
      </c>
      <c r="C75" s="8" t="s">
        <v>41</v>
      </c>
      <c r="D75" s="8">
        <v>67</v>
      </c>
      <c r="E75" s="8">
        <v>41</v>
      </c>
      <c r="F75" s="8">
        <v>95</v>
      </c>
      <c r="G75" s="8">
        <v>58</v>
      </c>
      <c r="H75" s="8">
        <v>84</v>
      </c>
      <c r="I75" s="8">
        <f t="shared" si="2"/>
        <v>345</v>
      </c>
      <c r="J75" s="15">
        <v>86</v>
      </c>
      <c r="K75" s="8" t="s">
        <v>42</v>
      </c>
      <c r="L75" s="10"/>
      <c r="M75" s="10"/>
    </row>
    <row r="76" spans="1:13" ht="15" customHeight="1" x14ac:dyDescent="0.3">
      <c r="A76" s="8" t="s">
        <v>185</v>
      </c>
      <c r="B76" s="8" t="s">
        <v>186</v>
      </c>
      <c r="C76" s="8" t="s">
        <v>41</v>
      </c>
      <c r="D76" s="8">
        <v>76</v>
      </c>
      <c r="E76" s="8">
        <v>89</v>
      </c>
      <c r="F76" s="8">
        <v>88</v>
      </c>
      <c r="G76" s="8">
        <v>80</v>
      </c>
      <c r="H76" s="8">
        <v>100</v>
      </c>
      <c r="I76" s="8">
        <f t="shared" si="2"/>
        <v>433</v>
      </c>
      <c r="J76" s="15">
        <v>93</v>
      </c>
      <c r="K76" s="8" t="s">
        <v>42</v>
      </c>
      <c r="L76" s="10"/>
      <c r="M76" s="10"/>
    </row>
    <row r="77" spans="1:13" ht="15" customHeight="1" x14ac:dyDescent="0.3">
      <c r="A77" s="8" t="s">
        <v>187</v>
      </c>
      <c r="B77" s="8" t="s">
        <v>188</v>
      </c>
      <c r="C77" s="8" t="s">
        <v>47</v>
      </c>
      <c r="D77" s="8">
        <v>49</v>
      </c>
      <c r="E77" s="8">
        <v>98</v>
      </c>
      <c r="F77" s="8">
        <v>55</v>
      </c>
      <c r="G77" s="8">
        <v>92</v>
      </c>
      <c r="H77" s="8">
        <v>51</v>
      </c>
      <c r="I77" s="8">
        <f t="shared" si="2"/>
        <v>345</v>
      </c>
      <c r="J77" s="15">
        <v>97</v>
      </c>
      <c r="K77" s="8" t="s">
        <v>42</v>
      </c>
      <c r="L77" s="10"/>
      <c r="M77" s="10"/>
    </row>
    <row r="78" spans="1:13" ht="15" customHeight="1" x14ac:dyDescent="0.3">
      <c r="A78" s="8" t="s">
        <v>189</v>
      </c>
      <c r="B78" s="8" t="s">
        <v>137</v>
      </c>
      <c r="C78" s="8" t="s">
        <v>47</v>
      </c>
      <c r="D78" s="8">
        <v>78</v>
      </c>
      <c r="E78" s="8">
        <v>94</v>
      </c>
      <c r="F78" s="8">
        <v>72</v>
      </c>
      <c r="G78" s="8">
        <v>89</v>
      </c>
      <c r="H78" s="8">
        <v>97</v>
      </c>
      <c r="I78" s="8">
        <f t="shared" si="2"/>
        <v>430</v>
      </c>
      <c r="J78" s="15">
        <v>78</v>
      </c>
      <c r="K78" s="8" t="s">
        <v>72</v>
      </c>
      <c r="L78" s="10"/>
      <c r="M78" s="10"/>
    </row>
    <row r="79" spans="1:13" ht="15" customHeight="1" x14ac:dyDescent="0.3">
      <c r="A79" s="8" t="s">
        <v>190</v>
      </c>
      <c r="B79" s="8" t="s">
        <v>191</v>
      </c>
      <c r="C79" s="8" t="s">
        <v>47</v>
      </c>
      <c r="D79" s="8">
        <v>77</v>
      </c>
      <c r="E79" s="8">
        <v>51</v>
      </c>
      <c r="F79" s="8">
        <v>56</v>
      </c>
      <c r="G79" s="8">
        <v>49</v>
      </c>
      <c r="H79" s="8">
        <v>64</v>
      </c>
      <c r="I79" s="8">
        <f t="shared" si="2"/>
        <v>297</v>
      </c>
      <c r="J79" s="15">
        <v>86</v>
      </c>
      <c r="K79" s="8" t="s">
        <v>42</v>
      </c>
      <c r="L79" s="10"/>
      <c r="M79" s="10"/>
    </row>
    <row r="80" spans="1:13" ht="15" customHeight="1" x14ac:dyDescent="0.3">
      <c r="A80" s="8" t="s">
        <v>192</v>
      </c>
      <c r="B80" s="8" t="s">
        <v>63</v>
      </c>
      <c r="C80" s="8" t="s">
        <v>41</v>
      </c>
      <c r="D80" s="8">
        <v>45</v>
      </c>
      <c r="E80" s="8">
        <v>94</v>
      </c>
      <c r="F80" s="8">
        <v>46</v>
      </c>
      <c r="G80" s="8">
        <v>71</v>
      </c>
      <c r="H80" s="8">
        <v>57</v>
      </c>
      <c r="I80" s="8">
        <f t="shared" si="2"/>
        <v>313</v>
      </c>
      <c r="J80" s="15">
        <v>97</v>
      </c>
      <c r="K80" s="8" t="s">
        <v>72</v>
      </c>
      <c r="L80" s="10"/>
      <c r="M80" s="10"/>
    </row>
    <row r="81" spans="1:13" ht="15" customHeight="1" x14ac:dyDescent="0.3">
      <c r="A81" s="8" t="s">
        <v>193</v>
      </c>
      <c r="B81" s="8" t="s">
        <v>194</v>
      </c>
      <c r="C81" s="8" t="s">
        <v>47</v>
      </c>
      <c r="D81" s="8">
        <v>82</v>
      </c>
      <c r="E81" s="8">
        <v>57</v>
      </c>
      <c r="F81" s="8">
        <v>82</v>
      </c>
      <c r="G81" s="8">
        <v>41</v>
      </c>
      <c r="H81" s="8">
        <v>89</v>
      </c>
      <c r="I81" s="8">
        <f t="shared" si="2"/>
        <v>351</v>
      </c>
      <c r="J81" s="15">
        <v>92</v>
      </c>
      <c r="K81" s="8" t="s">
        <v>42</v>
      </c>
      <c r="L81" s="10"/>
      <c r="M81" s="10"/>
    </row>
    <row r="82" spans="1:13" ht="15" customHeight="1" x14ac:dyDescent="0.3">
      <c r="A82" s="8" t="s">
        <v>195</v>
      </c>
      <c r="B82" s="8" t="s">
        <v>94</v>
      </c>
      <c r="C82" s="8" t="s">
        <v>58</v>
      </c>
      <c r="D82" s="8">
        <v>60</v>
      </c>
      <c r="E82" s="8">
        <v>82</v>
      </c>
      <c r="F82" s="8">
        <v>69</v>
      </c>
      <c r="G82" s="8">
        <v>70</v>
      </c>
      <c r="H82" s="8">
        <v>63</v>
      </c>
      <c r="I82" s="8">
        <f t="shared" si="2"/>
        <v>344</v>
      </c>
      <c r="J82" s="15">
        <v>94</v>
      </c>
      <c r="K82" s="8" t="s">
        <v>42</v>
      </c>
      <c r="L82" s="10"/>
      <c r="M82" s="10"/>
    </row>
    <row r="83" spans="1:13" ht="15" customHeight="1" x14ac:dyDescent="0.3">
      <c r="A83" s="8" t="s">
        <v>196</v>
      </c>
      <c r="B83" s="8" t="s">
        <v>197</v>
      </c>
      <c r="C83" s="8" t="s">
        <v>47</v>
      </c>
      <c r="D83" s="8">
        <v>58</v>
      </c>
      <c r="E83" s="8">
        <v>87</v>
      </c>
      <c r="F83" s="8">
        <v>86</v>
      </c>
      <c r="G83" s="8">
        <v>54</v>
      </c>
      <c r="H83" s="8">
        <v>68</v>
      </c>
      <c r="I83" s="8">
        <f t="shared" si="2"/>
        <v>353</v>
      </c>
      <c r="J83" s="15">
        <v>80</v>
      </c>
      <c r="K83" s="8" t="s">
        <v>42</v>
      </c>
      <c r="L83" s="10"/>
      <c r="M83" s="10"/>
    </row>
    <row r="84" spans="1:13" ht="15" customHeight="1" x14ac:dyDescent="0.3">
      <c r="A84" s="8" t="s">
        <v>198</v>
      </c>
      <c r="B84" s="8" t="s">
        <v>199</v>
      </c>
      <c r="C84" s="8" t="s">
        <v>41</v>
      </c>
      <c r="D84" s="8">
        <v>84</v>
      </c>
      <c r="E84" s="8">
        <v>94</v>
      </c>
      <c r="F84" s="8">
        <v>73</v>
      </c>
      <c r="G84" s="8">
        <v>82</v>
      </c>
      <c r="H84" s="8">
        <v>53</v>
      </c>
      <c r="I84" s="8">
        <f t="shared" si="2"/>
        <v>386</v>
      </c>
      <c r="J84" s="15">
        <v>90</v>
      </c>
      <c r="K84" s="8" t="s">
        <v>42</v>
      </c>
      <c r="L84" s="10"/>
      <c r="M84" s="10"/>
    </row>
    <row r="85" spans="1:13" ht="15" customHeight="1" x14ac:dyDescent="0.3">
      <c r="A85" s="8" t="s">
        <v>200</v>
      </c>
      <c r="B85" s="8" t="s">
        <v>171</v>
      </c>
      <c r="C85" s="8" t="s">
        <v>41</v>
      </c>
      <c r="D85" s="8">
        <v>56</v>
      </c>
      <c r="E85" s="8">
        <v>87</v>
      </c>
      <c r="F85" s="8">
        <v>50</v>
      </c>
      <c r="G85" s="8">
        <v>46</v>
      </c>
      <c r="H85" s="8">
        <v>68</v>
      </c>
      <c r="I85" s="8">
        <f t="shared" si="2"/>
        <v>307</v>
      </c>
      <c r="J85" s="15">
        <v>80</v>
      </c>
      <c r="K85" s="8" t="s">
        <v>42</v>
      </c>
      <c r="L85" s="10"/>
      <c r="M85" s="10"/>
    </row>
    <row r="86" spans="1:13" ht="15" customHeight="1" x14ac:dyDescent="0.3">
      <c r="A86" s="8" t="s">
        <v>201</v>
      </c>
      <c r="B86" s="8" t="s">
        <v>202</v>
      </c>
      <c r="C86" s="8" t="s">
        <v>41</v>
      </c>
      <c r="D86" s="8">
        <v>50</v>
      </c>
      <c r="E86" s="8">
        <v>52</v>
      </c>
      <c r="F86" s="8">
        <v>95</v>
      </c>
      <c r="G86" s="8">
        <v>75</v>
      </c>
      <c r="H86" s="8">
        <v>79</v>
      </c>
      <c r="I86" s="8">
        <f t="shared" si="2"/>
        <v>351</v>
      </c>
      <c r="J86" s="15">
        <v>86</v>
      </c>
      <c r="K86" s="8" t="s">
        <v>42</v>
      </c>
      <c r="L86" s="10"/>
      <c r="M86" s="10"/>
    </row>
    <row r="87" spans="1:13" ht="15" customHeight="1" x14ac:dyDescent="0.3">
      <c r="A87" s="8" t="s">
        <v>203</v>
      </c>
      <c r="B87" s="8" t="s">
        <v>204</v>
      </c>
      <c r="C87" s="8" t="s">
        <v>61</v>
      </c>
      <c r="D87" s="8">
        <v>42</v>
      </c>
      <c r="E87" s="8">
        <v>70</v>
      </c>
      <c r="F87" s="8">
        <v>87</v>
      </c>
      <c r="G87" s="8">
        <v>91</v>
      </c>
      <c r="H87" s="8">
        <v>70</v>
      </c>
      <c r="I87" s="8">
        <f t="shared" si="2"/>
        <v>360</v>
      </c>
      <c r="J87" s="15">
        <v>79</v>
      </c>
      <c r="K87" s="8" t="s">
        <v>42</v>
      </c>
      <c r="L87" s="10"/>
      <c r="M87" s="10"/>
    </row>
    <row r="88" spans="1:13" ht="15" customHeight="1" x14ac:dyDescent="0.3">
      <c r="A88" s="8" t="s">
        <v>205</v>
      </c>
      <c r="B88" s="8" t="s">
        <v>171</v>
      </c>
      <c r="C88" s="8" t="s">
        <v>58</v>
      </c>
      <c r="D88" s="8">
        <v>41</v>
      </c>
      <c r="E88" s="8">
        <v>91</v>
      </c>
      <c r="F88" s="8">
        <v>73</v>
      </c>
      <c r="G88" s="8">
        <v>69</v>
      </c>
      <c r="H88" s="8">
        <v>52</v>
      </c>
      <c r="I88" s="8">
        <f t="shared" si="2"/>
        <v>326</v>
      </c>
      <c r="J88" s="15">
        <v>100</v>
      </c>
      <c r="K88" s="8" t="s">
        <v>42</v>
      </c>
      <c r="L88" s="10"/>
      <c r="M88" s="10"/>
    </row>
    <row r="89" spans="1:13" ht="15" customHeight="1" x14ac:dyDescent="0.3">
      <c r="A89" s="8" t="s">
        <v>206</v>
      </c>
      <c r="B89" s="8" t="s">
        <v>207</v>
      </c>
      <c r="C89" s="8" t="s">
        <v>41</v>
      </c>
      <c r="D89" s="8">
        <v>63</v>
      </c>
      <c r="E89" s="8">
        <v>46</v>
      </c>
      <c r="F89" s="8">
        <v>77</v>
      </c>
      <c r="G89" s="8">
        <v>63</v>
      </c>
      <c r="H89" s="8">
        <v>87</v>
      </c>
      <c r="I89" s="8">
        <f t="shared" si="2"/>
        <v>336</v>
      </c>
      <c r="J89" s="15">
        <v>86</v>
      </c>
      <c r="K89" s="8" t="s">
        <v>42</v>
      </c>
      <c r="L89" s="10"/>
      <c r="M89" s="10"/>
    </row>
    <row r="90" spans="1:13" ht="15" customHeight="1" x14ac:dyDescent="0.3">
      <c r="A90" s="8" t="s">
        <v>208</v>
      </c>
      <c r="B90" s="8" t="s">
        <v>209</v>
      </c>
      <c r="C90" s="8" t="s">
        <v>61</v>
      </c>
      <c r="D90" s="8">
        <v>62</v>
      </c>
      <c r="E90" s="8">
        <v>72</v>
      </c>
      <c r="F90" s="8">
        <v>77</v>
      </c>
      <c r="G90" s="8">
        <v>68</v>
      </c>
      <c r="H90" s="8">
        <v>65</v>
      </c>
      <c r="I90" s="8">
        <f t="shared" si="2"/>
        <v>344</v>
      </c>
      <c r="J90" s="15">
        <v>84</v>
      </c>
      <c r="K90" s="8" t="s">
        <v>42</v>
      </c>
      <c r="L90" s="10"/>
      <c r="M90" s="10"/>
    </row>
    <row r="91" spans="1:13" ht="15" customHeight="1" x14ac:dyDescent="0.3">
      <c r="A91" s="8" t="s">
        <v>210</v>
      </c>
      <c r="B91" s="8" t="s">
        <v>211</v>
      </c>
      <c r="C91" s="8" t="s">
        <v>61</v>
      </c>
      <c r="D91" s="8">
        <v>96</v>
      </c>
      <c r="E91" s="8">
        <v>73</v>
      </c>
      <c r="F91" s="8">
        <v>56</v>
      </c>
      <c r="G91" s="8">
        <v>65</v>
      </c>
      <c r="H91" s="8">
        <v>93</v>
      </c>
      <c r="I91" s="8">
        <f t="shared" si="2"/>
        <v>383</v>
      </c>
      <c r="J91" s="15">
        <v>94</v>
      </c>
      <c r="K91" s="8" t="s">
        <v>42</v>
      </c>
      <c r="L91" s="10"/>
      <c r="M91" s="10"/>
    </row>
    <row r="92" spans="1:13" ht="15" customHeight="1" x14ac:dyDescent="0.3">
      <c r="A92" s="8" t="s">
        <v>212</v>
      </c>
      <c r="B92" s="8" t="s">
        <v>213</v>
      </c>
      <c r="C92" s="8" t="s">
        <v>61</v>
      </c>
      <c r="D92" s="8">
        <v>51</v>
      </c>
      <c r="E92" s="8">
        <v>97</v>
      </c>
      <c r="F92" s="8">
        <v>67</v>
      </c>
      <c r="G92" s="8">
        <v>53</v>
      </c>
      <c r="H92" s="8">
        <v>88</v>
      </c>
      <c r="I92" s="8">
        <f t="shared" si="2"/>
        <v>356</v>
      </c>
      <c r="J92" s="15">
        <v>93</v>
      </c>
      <c r="K92" s="8" t="s">
        <v>42</v>
      </c>
      <c r="L92" s="10"/>
      <c r="M92" s="10"/>
    </row>
    <row r="93" spans="1:13" ht="15" customHeight="1" x14ac:dyDescent="0.3">
      <c r="A93" s="8" t="s">
        <v>214</v>
      </c>
      <c r="B93" s="8" t="s">
        <v>215</v>
      </c>
      <c r="C93" s="8" t="s">
        <v>41</v>
      </c>
      <c r="D93" s="8">
        <v>99</v>
      </c>
      <c r="E93" s="8">
        <v>51</v>
      </c>
      <c r="F93" s="8">
        <v>51</v>
      </c>
      <c r="G93" s="8">
        <v>49</v>
      </c>
      <c r="H93" s="8">
        <v>98</v>
      </c>
      <c r="I93" s="8">
        <f t="shared" si="2"/>
        <v>348</v>
      </c>
      <c r="J93" s="15">
        <v>79</v>
      </c>
      <c r="K93" s="8" t="s">
        <v>42</v>
      </c>
      <c r="L93" s="10"/>
      <c r="M93" s="10"/>
    </row>
    <row r="94" spans="1:13" ht="15" customHeight="1" x14ac:dyDescent="0.3">
      <c r="A94" s="8" t="s">
        <v>216</v>
      </c>
      <c r="B94" s="8" t="s">
        <v>71</v>
      </c>
      <c r="C94" s="8" t="s">
        <v>47</v>
      </c>
      <c r="D94" s="8">
        <v>42</v>
      </c>
      <c r="E94" s="8">
        <v>91</v>
      </c>
      <c r="F94" s="8">
        <v>65</v>
      </c>
      <c r="G94" s="8">
        <v>97</v>
      </c>
      <c r="H94" s="8">
        <v>88</v>
      </c>
      <c r="I94" s="8">
        <f t="shared" si="2"/>
        <v>383</v>
      </c>
      <c r="J94" s="15">
        <v>88</v>
      </c>
      <c r="K94" s="8" t="s">
        <v>42</v>
      </c>
      <c r="L94" s="10"/>
      <c r="M94" s="10"/>
    </row>
    <row r="95" spans="1:13" ht="15" customHeight="1" x14ac:dyDescent="0.3">
      <c r="A95" s="8" t="s">
        <v>217</v>
      </c>
      <c r="B95" s="8" t="s">
        <v>218</v>
      </c>
      <c r="C95" s="8" t="s">
        <v>61</v>
      </c>
      <c r="D95" s="8">
        <v>79</v>
      </c>
      <c r="E95" s="8">
        <v>74</v>
      </c>
      <c r="F95" s="8">
        <v>90</v>
      </c>
      <c r="G95" s="8">
        <v>85</v>
      </c>
      <c r="H95" s="8">
        <v>61</v>
      </c>
      <c r="I95" s="8">
        <f t="shared" si="2"/>
        <v>389</v>
      </c>
      <c r="J95" s="15">
        <v>98</v>
      </c>
      <c r="K95" s="8" t="s">
        <v>42</v>
      </c>
      <c r="L95" s="10"/>
      <c r="M95" s="10"/>
    </row>
    <row r="96" spans="1:13" ht="15" customHeight="1" x14ac:dyDescent="0.3">
      <c r="A96" s="8" t="s">
        <v>219</v>
      </c>
      <c r="B96" s="8" t="s">
        <v>220</v>
      </c>
      <c r="C96" s="8" t="s">
        <v>47</v>
      </c>
      <c r="D96" s="8">
        <v>76</v>
      </c>
      <c r="E96" s="8">
        <v>99</v>
      </c>
      <c r="F96" s="8">
        <v>45</v>
      </c>
      <c r="G96" s="8">
        <v>94</v>
      </c>
      <c r="H96" s="8">
        <v>95</v>
      </c>
      <c r="I96" s="8">
        <f t="shared" si="2"/>
        <v>409</v>
      </c>
      <c r="J96" s="15">
        <v>96</v>
      </c>
      <c r="K96" s="8" t="s">
        <v>42</v>
      </c>
      <c r="L96" s="10"/>
      <c r="M96" s="10"/>
    </row>
    <row r="97" spans="1:13" ht="15" customHeight="1" x14ac:dyDescent="0.3">
      <c r="A97" s="8" t="s">
        <v>221</v>
      </c>
      <c r="B97" s="8" t="s">
        <v>222</v>
      </c>
      <c r="C97" s="8" t="s">
        <v>41</v>
      </c>
      <c r="D97" s="8">
        <v>52</v>
      </c>
      <c r="E97" s="8">
        <v>84</v>
      </c>
      <c r="F97" s="8">
        <v>86</v>
      </c>
      <c r="G97" s="8">
        <v>59</v>
      </c>
      <c r="H97" s="8">
        <v>64</v>
      </c>
      <c r="I97" s="8">
        <f t="shared" si="2"/>
        <v>345</v>
      </c>
      <c r="J97" s="15">
        <v>82</v>
      </c>
      <c r="K97" s="8" t="s">
        <v>72</v>
      </c>
      <c r="L97" s="10"/>
      <c r="M97" s="10"/>
    </row>
    <row r="98" spans="1:13" ht="15" customHeight="1" x14ac:dyDescent="0.3">
      <c r="A98" s="8" t="s">
        <v>223</v>
      </c>
      <c r="B98" s="8" t="s">
        <v>224</v>
      </c>
      <c r="C98" s="8" t="s">
        <v>47</v>
      </c>
      <c r="D98" s="8">
        <v>55</v>
      </c>
      <c r="E98" s="8">
        <v>66</v>
      </c>
      <c r="F98" s="8">
        <v>57</v>
      </c>
      <c r="G98" s="8">
        <v>70</v>
      </c>
      <c r="H98" s="8">
        <v>97</v>
      </c>
      <c r="I98" s="8">
        <f t="shared" si="2"/>
        <v>345</v>
      </c>
      <c r="J98" s="15">
        <v>93</v>
      </c>
      <c r="K98" s="8" t="s">
        <v>42</v>
      </c>
      <c r="L98" s="10"/>
      <c r="M98" s="10"/>
    </row>
    <row r="99" spans="1:13" ht="15" customHeight="1" x14ac:dyDescent="0.3">
      <c r="A99" s="8" t="s">
        <v>225</v>
      </c>
      <c r="B99" s="8" t="s">
        <v>226</v>
      </c>
      <c r="C99" s="8" t="s">
        <v>61</v>
      </c>
      <c r="D99" s="8">
        <v>77</v>
      </c>
      <c r="E99" s="8">
        <v>49</v>
      </c>
      <c r="F99" s="8">
        <v>69</v>
      </c>
      <c r="G99" s="8">
        <v>93</v>
      </c>
      <c r="H99" s="8">
        <v>50</v>
      </c>
      <c r="I99" s="8">
        <f t="shared" ref="I99:I102" si="3">SUM(D99:H99)</f>
        <v>338</v>
      </c>
      <c r="J99" s="15">
        <v>81</v>
      </c>
      <c r="K99" s="8" t="s">
        <v>42</v>
      </c>
      <c r="L99" s="10"/>
      <c r="M99" s="10"/>
    </row>
    <row r="100" spans="1:13" ht="15" customHeight="1" x14ac:dyDescent="0.3">
      <c r="A100" s="8" t="s">
        <v>227</v>
      </c>
      <c r="B100" s="8" t="s">
        <v>228</v>
      </c>
      <c r="C100" s="8" t="s">
        <v>41</v>
      </c>
      <c r="D100" s="8">
        <v>53</v>
      </c>
      <c r="E100" s="8">
        <v>82</v>
      </c>
      <c r="F100" s="8">
        <v>80</v>
      </c>
      <c r="G100" s="8">
        <v>94</v>
      </c>
      <c r="H100" s="8">
        <v>81</v>
      </c>
      <c r="I100" s="8">
        <f t="shared" si="3"/>
        <v>390</v>
      </c>
      <c r="J100" s="15">
        <v>90</v>
      </c>
      <c r="K100" s="8" t="s">
        <v>42</v>
      </c>
      <c r="L100" s="10"/>
      <c r="M100" s="10"/>
    </row>
    <row r="101" spans="1:13" ht="15" customHeight="1" x14ac:dyDescent="0.3">
      <c r="A101" s="8" t="s">
        <v>229</v>
      </c>
      <c r="B101" s="8" t="s">
        <v>230</v>
      </c>
      <c r="C101" s="8" t="s">
        <v>47</v>
      </c>
      <c r="D101" s="8">
        <v>79</v>
      </c>
      <c r="E101" s="8">
        <v>68</v>
      </c>
      <c r="F101" s="8">
        <v>63</v>
      </c>
      <c r="G101" s="8">
        <v>42</v>
      </c>
      <c r="H101" s="8">
        <v>90</v>
      </c>
      <c r="I101" s="8">
        <f t="shared" si="3"/>
        <v>342</v>
      </c>
      <c r="J101" s="15">
        <v>75</v>
      </c>
      <c r="K101" s="8" t="s">
        <v>42</v>
      </c>
      <c r="L101" s="10"/>
      <c r="M101" s="10"/>
    </row>
    <row r="102" spans="1:13" ht="15" customHeight="1" x14ac:dyDescent="0.3">
      <c r="A102" s="8" t="s">
        <v>231</v>
      </c>
      <c r="B102" s="8" t="s">
        <v>232</v>
      </c>
      <c r="C102" s="8" t="s">
        <v>61</v>
      </c>
      <c r="D102" s="8">
        <v>61</v>
      </c>
      <c r="E102" s="8">
        <v>100</v>
      </c>
      <c r="F102" s="8">
        <v>77</v>
      </c>
      <c r="G102" s="8">
        <v>61</v>
      </c>
      <c r="H102" s="8">
        <v>88</v>
      </c>
      <c r="I102" s="8">
        <f t="shared" si="3"/>
        <v>387</v>
      </c>
      <c r="J102" s="15">
        <v>92</v>
      </c>
      <c r="K102" s="8" t="s">
        <v>42</v>
      </c>
      <c r="L102" s="10"/>
      <c r="M102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selection activeCell="J12" sqref="J12"/>
    </sheetView>
  </sheetViews>
  <sheetFormatPr defaultColWidth="8.6640625" defaultRowHeight="14.4" x14ac:dyDescent="0.3"/>
  <cols>
    <col min="1" max="1" width="10" style="5" customWidth="1"/>
    <col min="2" max="3" width="12" style="5" customWidth="1"/>
  </cols>
  <sheetData>
    <row r="1" spans="1:3" ht="15" customHeight="1" x14ac:dyDescent="0.3">
      <c r="A1" s="6" t="s">
        <v>233</v>
      </c>
      <c r="B1" s="6" t="s">
        <v>234</v>
      </c>
      <c r="C1" s="6" t="s">
        <v>235</v>
      </c>
    </row>
    <row r="2" spans="1:3" ht="15" customHeight="1" x14ac:dyDescent="0.3">
      <c r="A2" s="8" t="s">
        <v>236</v>
      </c>
      <c r="B2" s="8">
        <v>90</v>
      </c>
      <c r="C2" s="8">
        <v>100</v>
      </c>
    </row>
    <row r="3" spans="1:3" ht="15" customHeight="1" x14ac:dyDescent="0.3">
      <c r="A3" s="8" t="s">
        <v>237</v>
      </c>
      <c r="B3" s="8">
        <v>80</v>
      </c>
      <c r="C3" s="8">
        <v>89</v>
      </c>
    </row>
    <row r="4" spans="1:3" ht="15" customHeight="1" x14ac:dyDescent="0.3">
      <c r="A4" s="8" t="s">
        <v>238</v>
      </c>
      <c r="B4" s="8">
        <v>70</v>
      </c>
      <c r="C4" s="8">
        <v>79</v>
      </c>
    </row>
    <row r="5" spans="1:3" ht="15" customHeight="1" x14ac:dyDescent="0.3">
      <c r="A5" s="8" t="s">
        <v>239</v>
      </c>
      <c r="B5" s="8">
        <v>60</v>
      </c>
      <c r="C5" s="8">
        <v>69</v>
      </c>
    </row>
    <row r="6" spans="1:3" ht="15" customHeight="1" x14ac:dyDescent="0.3">
      <c r="A6" s="8" t="s">
        <v>240</v>
      </c>
      <c r="B6" s="8">
        <v>50</v>
      </c>
      <c r="C6" s="8">
        <v>59</v>
      </c>
    </row>
    <row r="7" spans="1:3" ht="15" customHeight="1" x14ac:dyDescent="0.3">
      <c r="A7" s="8" t="s">
        <v>241</v>
      </c>
      <c r="B7" s="8">
        <v>0</v>
      </c>
      <c r="C7" s="8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tabSelected="1" zoomScaleNormal="100" workbookViewId="0">
      <selection activeCell="A11" sqref="A11"/>
    </sheetView>
  </sheetViews>
  <sheetFormatPr defaultColWidth="8.6640625" defaultRowHeight="14.4" x14ac:dyDescent="0.3"/>
  <cols>
    <col min="1" max="1" width="44.77734375" style="7" customWidth="1"/>
    <col min="2" max="2" width="101.77734375" style="7" bestFit="1" customWidth="1"/>
    <col min="3" max="3" width="21.5546875" style="7" customWidth="1"/>
    <col min="4" max="5" width="19.109375" style="19" customWidth="1"/>
  </cols>
  <sheetData>
    <row r="1" spans="1:5" ht="15" customHeight="1" x14ac:dyDescent="0.3">
      <c r="A1" s="23" t="s">
        <v>242</v>
      </c>
      <c r="B1" s="9"/>
      <c r="C1" s="9" t="s">
        <v>284</v>
      </c>
      <c r="D1" s="16" t="s">
        <v>285</v>
      </c>
      <c r="E1" s="16" t="s">
        <v>286</v>
      </c>
    </row>
    <row r="2" spans="1:5" ht="15" customHeight="1" x14ac:dyDescent="0.3">
      <c r="A2" s="11" t="s">
        <v>243</v>
      </c>
      <c r="B2" s="11" t="s">
        <v>244</v>
      </c>
      <c r="C2" s="11"/>
      <c r="D2" s="17"/>
      <c r="E2" s="17"/>
    </row>
    <row r="3" spans="1:5" ht="15" customHeight="1" x14ac:dyDescent="0.3">
      <c r="A3" s="13" t="s">
        <v>245</v>
      </c>
      <c r="B3" s="13"/>
      <c r="C3" s="12"/>
      <c r="D3" s="17">
        <v>90</v>
      </c>
      <c r="E3" s="17" t="s">
        <v>31</v>
      </c>
    </row>
    <row r="4" spans="1:5" x14ac:dyDescent="0.3">
      <c r="A4" s="8"/>
      <c r="B4" s="8"/>
      <c r="C4" s="8"/>
      <c r="D4" s="17"/>
      <c r="E4" s="17"/>
    </row>
    <row r="5" spans="1:5" ht="15" customHeight="1" x14ac:dyDescent="0.3">
      <c r="A5" s="11" t="s">
        <v>246</v>
      </c>
      <c r="B5" s="11" t="s">
        <v>247</v>
      </c>
      <c r="C5" s="11"/>
      <c r="D5" s="17" t="s">
        <v>287</v>
      </c>
      <c r="E5" s="18">
        <v>0.85</v>
      </c>
    </row>
    <row r="6" spans="1:5" ht="15" customHeight="1" x14ac:dyDescent="0.3">
      <c r="A6" s="13" t="s">
        <v>245</v>
      </c>
      <c r="B6" s="13"/>
      <c r="C6" s="12"/>
      <c r="D6" s="17"/>
      <c r="E6" s="17"/>
    </row>
    <row r="7" spans="1:5" x14ac:dyDescent="0.3">
      <c r="A7" s="8"/>
      <c r="B7" s="8"/>
      <c r="C7" s="8"/>
      <c r="D7" s="17"/>
      <c r="E7" s="17"/>
    </row>
    <row r="8" spans="1:5" ht="15" customHeight="1" x14ac:dyDescent="0.3">
      <c r="A8" s="23" t="s">
        <v>248</v>
      </c>
      <c r="B8" s="8"/>
      <c r="C8" s="8"/>
      <c r="D8" s="17"/>
      <c r="E8" s="17"/>
    </row>
    <row r="9" spans="1:5" ht="15" customHeight="1" x14ac:dyDescent="0.3">
      <c r="A9" s="11" t="s">
        <v>249</v>
      </c>
      <c r="B9" s="11" t="s">
        <v>250</v>
      </c>
      <c r="C9" s="11"/>
      <c r="D9" s="17"/>
      <c r="E9" s="17"/>
    </row>
    <row r="10" spans="1:5" ht="15" customHeight="1" x14ac:dyDescent="0.3">
      <c r="A10" s="13" t="s">
        <v>245</v>
      </c>
      <c r="B10" s="13"/>
      <c r="C10" s="12"/>
      <c r="D10" s="17" t="s">
        <v>288</v>
      </c>
      <c r="E10" s="17" t="s">
        <v>289</v>
      </c>
    </row>
    <row r="11" spans="1:5" x14ac:dyDescent="0.3">
      <c r="A11" s="8"/>
      <c r="B11" s="8"/>
      <c r="C11" s="8"/>
      <c r="D11" s="17"/>
      <c r="E11" s="17"/>
    </row>
    <row r="12" spans="1:5" ht="15" customHeight="1" x14ac:dyDescent="0.3">
      <c r="A12" s="11" t="s">
        <v>251</v>
      </c>
      <c r="B12" s="11" t="s">
        <v>252</v>
      </c>
      <c r="C12" s="11"/>
      <c r="D12" s="17"/>
      <c r="E12" s="17"/>
    </row>
    <row r="13" spans="1:5" ht="15" customHeight="1" x14ac:dyDescent="0.3">
      <c r="A13" s="13" t="s">
        <v>245</v>
      </c>
      <c r="B13" s="13"/>
      <c r="C13" s="12"/>
      <c r="D13" s="17" t="s">
        <v>42</v>
      </c>
      <c r="E13" s="17" t="s">
        <v>58</v>
      </c>
    </row>
    <row r="14" spans="1:5" x14ac:dyDescent="0.3">
      <c r="A14" s="8"/>
      <c r="B14" s="8"/>
      <c r="C14" s="8"/>
      <c r="D14" s="17"/>
      <c r="E14" s="17"/>
    </row>
    <row r="15" spans="1:5" ht="15" customHeight="1" x14ac:dyDescent="0.3">
      <c r="A15" s="23" t="s">
        <v>253</v>
      </c>
      <c r="B15" s="8"/>
      <c r="C15" s="8"/>
      <c r="D15" s="17"/>
      <c r="E15" s="17"/>
    </row>
    <row r="16" spans="1:5" ht="15" customHeight="1" x14ac:dyDescent="0.3">
      <c r="A16" s="11" t="s">
        <v>254</v>
      </c>
      <c r="B16" s="11" t="s">
        <v>255</v>
      </c>
      <c r="C16" s="11"/>
      <c r="D16" s="17"/>
      <c r="E16" s="17"/>
    </row>
    <row r="17" spans="1:5" ht="15" customHeight="1" x14ac:dyDescent="0.3">
      <c r="A17" s="13" t="s">
        <v>245</v>
      </c>
      <c r="B17" s="13"/>
      <c r="C17" s="12"/>
      <c r="D17" s="17" t="s">
        <v>33</v>
      </c>
      <c r="E17" s="17" t="s">
        <v>61</v>
      </c>
    </row>
    <row r="18" spans="1:5" x14ac:dyDescent="0.3">
      <c r="A18" s="8"/>
      <c r="B18" s="8"/>
      <c r="C18" s="8"/>
      <c r="D18" s="17"/>
      <c r="E18" s="17"/>
    </row>
    <row r="19" spans="1:5" ht="15" customHeight="1" x14ac:dyDescent="0.3">
      <c r="A19" s="11" t="s">
        <v>256</v>
      </c>
      <c r="B19" s="11" t="s">
        <v>257</v>
      </c>
      <c r="C19" s="11"/>
      <c r="D19" s="17"/>
      <c r="E19" s="17"/>
    </row>
    <row r="20" spans="1:5" ht="15" customHeight="1" x14ac:dyDescent="0.3">
      <c r="A20" s="13" t="s">
        <v>245</v>
      </c>
      <c r="B20" s="13"/>
      <c r="C20" s="12"/>
      <c r="D20" s="18">
        <v>0.9</v>
      </c>
      <c r="E20" s="17"/>
    </row>
    <row r="21" spans="1:5" x14ac:dyDescent="0.3">
      <c r="A21" s="8"/>
      <c r="B21" s="8"/>
      <c r="C21" s="8"/>
      <c r="D21" s="17"/>
      <c r="E21" s="17"/>
    </row>
    <row r="22" spans="1:5" ht="15" customHeight="1" x14ac:dyDescent="0.3">
      <c r="A22" s="23" t="s">
        <v>258</v>
      </c>
      <c r="B22" s="8"/>
      <c r="C22" s="8"/>
      <c r="D22" s="17"/>
      <c r="E22" s="17"/>
    </row>
    <row r="23" spans="1:5" ht="15" customHeight="1" x14ac:dyDescent="0.3">
      <c r="A23" s="11" t="s">
        <v>259</v>
      </c>
      <c r="B23" s="11" t="s">
        <v>260</v>
      </c>
      <c r="C23" s="11"/>
      <c r="D23" s="17"/>
      <c r="E23" s="17"/>
    </row>
    <row r="24" spans="1:5" ht="15" customHeight="1" x14ac:dyDescent="0.3">
      <c r="A24" s="13" t="s">
        <v>261</v>
      </c>
      <c r="B24" s="13"/>
      <c r="C24" s="12"/>
      <c r="D24" s="17"/>
      <c r="E24" s="17"/>
    </row>
    <row r="25" spans="1:5" x14ac:dyDescent="0.3">
      <c r="A25" s="8"/>
      <c r="B25" s="8"/>
      <c r="C25" s="8"/>
      <c r="D25" s="17"/>
      <c r="E25" s="17"/>
    </row>
    <row r="26" spans="1:5" ht="15" customHeight="1" x14ac:dyDescent="0.3">
      <c r="A26" s="11" t="s">
        <v>262</v>
      </c>
      <c r="B26" s="11" t="s">
        <v>263</v>
      </c>
      <c r="C26" s="11"/>
      <c r="D26" s="17"/>
      <c r="E26" s="17"/>
    </row>
    <row r="27" spans="1:5" ht="15" customHeight="1" x14ac:dyDescent="0.3">
      <c r="A27" s="13" t="s">
        <v>264</v>
      </c>
      <c r="B27" s="13"/>
      <c r="C27" s="12"/>
      <c r="D27" s="17"/>
      <c r="E27" s="17"/>
    </row>
    <row r="28" spans="1:5" x14ac:dyDescent="0.3">
      <c r="A28" s="8"/>
      <c r="B28" s="8"/>
      <c r="C28" s="8"/>
      <c r="D28" s="17"/>
      <c r="E28" s="17"/>
    </row>
    <row r="29" spans="1:5" ht="15" customHeight="1" x14ac:dyDescent="0.3">
      <c r="A29" s="23" t="s">
        <v>265</v>
      </c>
      <c r="B29" s="8"/>
      <c r="C29" s="8"/>
      <c r="D29" s="17"/>
      <c r="E29" s="17"/>
    </row>
    <row r="30" spans="1:5" ht="15" customHeight="1" x14ac:dyDescent="0.3">
      <c r="A30" s="11" t="s">
        <v>266</v>
      </c>
      <c r="B30" s="11" t="s">
        <v>267</v>
      </c>
      <c r="C30" s="11"/>
      <c r="D30" s="17"/>
      <c r="E30" s="17"/>
    </row>
    <row r="31" spans="1:5" ht="15" customHeight="1" x14ac:dyDescent="0.3">
      <c r="A31" s="13" t="s">
        <v>245</v>
      </c>
      <c r="B31" s="13"/>
      <c r="C31" s="12"/>
      <c r="D31" s="17"/>
      <c r="E31" s="17"/>
    </row>
    <row r="32" spans="1:5" ht="15" customHeight="1" x14ac:dyDescent="0.3">
      <c r="A32" s="13" t="s">
        <v>268</v>
      </c>
      <c r="B32" s="13" t="s">
        <v>269</v>
      </c>
      <c r="C32" s="13"/>
      <c r="D32" s="17"/>
      <c r="E32" s="17"/>
    </row>
    <row r="33" spans="1:5" x14ac:dyDescent="0.3">
      <c r="A33" s="8"/>
      <c r="B33" s="8"/>
      <c r="C33" s="8"/>
      <c r="D33" s="17"/>
      <c r="E33" s="17"/>
    </row>
    <row r="34" spans="1:5" ht="15" customHeight="1" x14ac:dyDescent="0.3">
      <c r="A34" s="11" t="s">
        <v>270</v>
      </c>
      <c r="B34" s="11" t="s">
        <v>271</v>
      </c>
      <c r="C34" s="11"/>
      <c r="E34" s="17"/>
    </row>
    <row r="35" spans="1:5" ht="15" customHeight="1" x14ac:dyDescent="0.3">
      <c r="A35" s="13" t="s">
        <v>245</v>
      </c>
      <c r="B35" s="13"/>
      <c r="C35" s="12"/>
      <c r="D35" s="17" t="s">
        <v>91</v>
      </c>
      <c r="E35" s="17"/>
    </row>
    <row r="36" spans="1:5" x14ac:dyDescent="0.3">
      <c r="A36" s="8"/>
      <c r="B36" s="8"/>
      <c r="C36" s="8"/>
      <c r="D36" s="17"/>
      <c r="E36" s="17"/>
    </row>
    <row r="37" spans="1:5" ht="15" customHeight="1" x14ac:dyDescent="0.3">
      <c r="A37" s="23" t="s">
        <v>272</v>
      </c>
      <c r="B37" s="8"/>
      <c r="C37" s="8"/>
      <c r="D37" s="17"/>
      <c r="E37" s="17"/>
    </row>
    <row r="38" spans="1:5" ht="15" customHeight="1" x14ac:dyDescent="0.3">
      <c r="A38" s="11" t="s">
        <v>273</v>
      </c>
      <c r="B38" s="11" t="s">
        <v>274</v>
      </c>
      <c r="C38" s="11"/>
      <c r="D38" s="17"/>
      <c r="E38" s="17"/>
    </row>
    <row r="39" spans="1:5" ht="15" customHeight="1" x14ac:dyDescent="0.3">
      <c r="A39" s="13" t="s">
        <v>245</v>
      </c>
      <c r="B39" s="13"/>
      <c r="C39" s="12"/>
      <c r="D39" s="17"/>
      <c r="E39" s="17"/>
    </row>
    <row r="40" spans="1:5" ht="15" customHeight="1" x14ac:dyDescent="0.3">
      <c r="A40" s="13" t="s">
        <v>268</v>
      </c>
      <c r="B40" s="13" t="s">
        <v>275</v>
      </c>
      <c r="C40" s="13"/>
      <c r="D40" s="17"/>
      <c r="E40" s="17"/>
    </row>
    <row r="41" spans="1:5" x14ac:dyDescent="0.3">
      <c r="A41" s="8"/>
      <c r="B41" s="8"/>
      <c r="C41" s="8"/>
      <c r="D41" s="17"/>
      <c r="E41" s="17"/>
    </row>
    <row r="42" spans="1:5" ht="15" customHeight="1" x14ac:dyDescent="0.3">
      <c r="A42" s="11" t="s">
        <v>276</v>
      </c>
      <c r="B42" s="11" t="s">
        <v>277</v>
      </c>
      <c r="C42" s="11"/>
      <c r="D42" s="17"/>
      <c r="E42" s="17"/>
    </row>
    <row r="43" spans="1:5" ht="15" customHeight="1" x14ac:dyDescent="0.3">
      <c r="A43" s="13" t="s">
        <v>245</v>
      </c>
      <c r="B43" s="13"/>
      <c r="C43" s="12"/>
      <c r="D43" s="17"/>
      <c r="E43" s="17"/>
    </row>
    <row r="44" spans="1:5" ht="15" customHeight="1" x14ac:dyDescent="0.3">
      <c r="A44" s="13" t="s">
        <v>268</v>
      </c>
      <c r="B44" s="13" t="s">
        <v>278</v>
      </c>
      <c r="C44" s="13"/>
      <c r="D44" s="17"/>
      <c r="E44" s="17"/>
    </row>
    <row r="45" spans="1:5" x14ac:dyDescent="0.3">
      <c r="A45" s="8"/>
      <c r="B45" s="8"/>
      <c r="C45" s="8"/>
      <c r="D45" s="17"/>
      <c r="E45" s="17"/>
    </row>
    <row r="46" spans="1:5" ht="15" customHeight="1" x14ac:dyDescent="0.3">
      <c r="A46" s="23" t="s">
        <v>279</v>
      </c>
      <c r="B46" s="8"/>
      <c r="C46" s="8"/>
      <c r="D46" s="17"/>
      <c r="E46" s="17"/>
    </row>
    <row r="47" spans="1:5" ht="15" customHeight="1" x14ac:dyDescent="0.3">
      <c r="A47" s="11" t="s">
        <v>280</v>
      </c>
      <c r="B47" s="11" t="s">
        <v>281</v>
      </c>
      <c r="C47" s="11"/>
      <c r="D47" s="17">
        <v>85</v>
      </c>
      <c r="E47" s="17"/>
    </row>
    <row r="48" spans="1:5" ht="15" customHeight="1" x14ac:dyDescent="0.3">
      <c r="A48" s="13" t="s">
        <v>245</v>
      </c>
      <c r="B48" s="13"/>
      <c r="C48" s="12"/>
      <c r="D48" s="17"/>
      <c r="E48" s="17"/>
    </row>
    <row r="49" spans="1:5" x14ac:dyDescent="0.3">
      <c r="A49" s="8"/>
      <c r="B49" s="8"/>
      <c r="C49" s="8"/>
      <c r="D49" s="17"/>
      <c r="E49" s="17"/>
    </row>
    <row r="50" spans="1:5" ht="15" customHeight="1" x14ac:dyDescent="0.3">
      <c r="A50" s="11" t="s">
        <v>282</v>
      </c>
      <c r="B50" s="11" t="s">
        <v>283</v>
      </c>
      <c r="C50" s="11"/>
      <c r="D50" s="17" t="s">
        <v>294</v>
      </c>
      <c r="E50" s="17"/>
    </row>
    <row r="51" spans="1:5" ht="15" customHeight="1" x14ac:dyDescent="0.3">
      <c r="A51" s="13" t="s">
        <v>245</v>
      </c>
      <c r="B51" s="13"/>
      <c r="C51" s="12"/>
      <c r="D51" s="17"/>
      <c r="E51" s="1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Student Grades</vt:lpstr>
      <vt:lpstr>Grade Scale</vt:lpstr>
      <vt:lpstr>Questions &amp;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cp:revision>0</cp:revision>
  <dcterms:created xsi:type="dcterms:W3CDTF">2026-02-16T08:05:54Z</dcterms:created>
  <dcterms:modified xsi:type="dcterms:W3CDTF">2026-03-03T07:25:21Z</dcterms:modified>
  <dc:language>en-US</dc:language>
</cp:coreProperties>
</file>