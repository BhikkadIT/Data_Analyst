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Excel\"/>
    </mc:Choice>
  </mc:AlternateContent>
  <xr:revisionPtr revIDLastSave="0" documentId="13_ncr:1_{72114CBD-9BAB-45AA-9843-654DE755DEF6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Instructions" sheetId="1" state="hidden" r:id="rId1"/>
    <sheet name="Sales Data" sheetId="2" r:id="rId2"/>
    <sheet name="Questions &amp; Answers" sheetId="3" r:id="rId3"/>
  </sheets>
  <definedNames>
    <definedName name="_xlnm._FilterDatabase" localSheetId="1" hidden="1">'Sales Data'!$A$1:$J$101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3" l="1"/>
  <c r="E35" i="3"/>
  <c r="E31" i="3"/>
  <c r="E28" i="3"/>
  <c r="E20" i="3"/>
  <c r="E17" i="3"/>
  <c r="E3" i="3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E6" i="3" s="1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24" i="3" s="1"/>
  <c r="E10" i="3" l="1"/>
  <c r="E13" i="3"/>
</calcChain>
</file>

<file path=xl/sharedStrings.xml><?xml version="1.0" encoding="utf-8"?>
<sst xmlns="http://schemas.openxmlformats.org/spreadsheetml/2006/main" count="695" uniqueCount="200">
  <si>
    <t>EXCEL FORMULA PRACTICE WORKBOOK - SALES &amp; INVENTORY MANAGEMENT</t>
  </si>
  <si>
    <t>HOW TO USE THIS WORKBOOK:</t>
  </si>
  <si>
    <t>1. Review the 'Employee Data' sheet to understand the dataset</t>
  </si>
  <si>
    <t>2. Check 'Salary Bands' sheet for reference data</t>
  </si>
  <si>
    <t>3. Go to 'Questions &amp; Answers' sheet for practice problems</t>
  </si>
  <si>
    <t>4. Try solving each question on your own before checking the answer</t>
  </si>
  <si>
    <t>5. Answers are provided in Column C with green background</t>
  </si>
  <si>
    <t>IMPORTANT NOTES:</t>
  </si>
  <si>
    <t>• FILTER, SORT, SORTBY, and UNIQUE functions require Excel 365 or Excel 2021+</t>
  </si>
  <si>
    <t>• XLOOKUP requires Excel 365 or Excel 2021+ (alternative: use INDEX-MATCH)</t>
  </si>
  <si>
    <t>• For older Excel versions, some formulas may show #NAME? error</t>
  </si>
  <si>
    <t>• All other formulas (VLOOKUP, SUMIFS, COUNTIFS, IF, etc.) work in all Excel versions</t>
  </si>
  <si>
    <t>FORMULA CATEGORIES COVERED:</t>
  </si>
  <si>
    <t>✓ FILTER - Dynamic filtering of data</t>
  </si>
  <si>
    <t>✓ SORT &amp; SORTBY - Sorting data dynamically</t>
  </si>
  <si>
    <t>✓ UNIQUE - Extracting unique values</t>
  </si>
  <si>
    <t>✓ XLOOKUP - Modern lookup function</t>
  </si>
  <si>
    <t>✓ INDEX-MATCH - Traditional lookup alternative</t>
  </si>
  <si>
    <t>✓ COUNTIFS - Counting with multiple criteria</t>
  </si>
  <si>
    <t>✓ SUMIFS - Summing with multiple criteria</t>
  </si>
  <si>
    <t>✓ AVERAGEIFS - Averaging with multiple criteria</t>
  </si>
  <si>
    <t>✓ Nested IF - Complex conditional logic</t>
  </si>
  <si>
    <t>MOCK INTERVIEW TIP:</t>
  </si>
  <si>
    <t>When explaining formulas in interviews:</t>
  </si>
  <si>
    <t>1. State the purpose clearly</t>
  </si>
  <si>
    <t>2. Explain each component of the formula</t>
  </si>
  <si>
    <t>3. Mention any assumptions or data requirements</t>
  </si>
  <si>
    <t>4. Discuss alternative approaches when applicable</t>
  </si>
  <si>
    <t>Order ID</t>
  </si>
  <si>
    <t>Date</t>
  </si>
  <si>
    <t>Product</t>
  </si>
  <si>
    <t>Category</t>
  </si>
  <si>
    <t>Region</t>
  </si>
  <si>
    <t>Sales Rep</t>
  </si>
  <si>
    <t>Quantity</t>
  </si>
  <si>
    <t>Unit Price</t>
  </si>
  <si>
    <t>Total Amount</t>
  </si>
  <si>
    <t>Status</t>
  </si>
  <si>
    <t>ORD-1002</t>
  </si>
  <si>
    <t>Printer</t>
  </si>
  <si>
    <t>Electronics</t>
  </si>
  <si>
    <t>Central</t>
  </si>
  <si>
    <t>Lisa Anderson</t>
  </si>
  <si>
    <t>Cancelled</t>
  </si>
  <si>
    <t>ORD-1003</t>
  </si>
  <si>
    <t>Tablet</t>
  </si>
  <si>
    <t>West</t>
  </si>
  <si>
    <t>Completed</t>
  </si>
  <si>
    <t>ORD-1004</t>
  </si>
  <si>
    <t>Monitor</t>
  </si>
  <si>
    <t>East</t>
  </si>
  <si>
    <t>ORD-1005</t>
  </si>
  <si>
    <t>Headphones</t>
  </si>
  <si>
    <t>South</t>
  </si>
  <si>
    <t>Sarah Johnson</t>
  </si>
  <si>
    <t>ORD-1006</t>
  </si>
  <si>
    <t>Laptop</t>
  </si>
  <si>
    <t>Robert Wilson</t>
  </si>
  <si>
    <t>ORD-1007</t>
  </si>
  <si>
    <t>USB Drive</t>
  </si>
  <si>
    <t>Accessories</t>
  </si>
  <si>
    <t>John Smith</t>
  </si>
  <si>
    <t>ORD-1008</t>
  </si>
  <si>
    <t>Mouse</t>
  </si>
  <si>
    <t>Pending</t>
  </si>
  <si>
    <t>ORD-1009</t>
  </si>
  <si>
    <t>Keyboard</t>
  </si>
  <si>
    <t>Mike Brown</t>
  </si>
  <si>
    <t>ORD-1010</t>
  </si>
  <si>
    <t>ORD-1011</t>
  </si>
  <si>
    <t>ORD-1012</t>
  </si>
  <si>
    <t>Webcam</t>
  </si>
  <si>
    <t>ORD-1013</t>
  </si>
  <si>
    <t>Emily Davis</t>
  </si>
  <si>
    <t>ORD-1014</t>
  </si>
  <si>
    <t>ORD-1015</t>
  </si>
  <si>
    <t>North</t>
  </si>
  <si>
    <t>ORD-1016</t>
  </si>
  <si>
    <t>ORD-1017</t>
  </si>
  <si>
    <t>Scanner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</si>
  <si>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</si>
  <si>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</si>
  <si>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</si>
  <si>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</si>
  <si>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</si>
  <si>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</si>
  <si>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</si>
  <si>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</si>
  <si>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</si>
  <si>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</si>
  <si>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</si>
  <si>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</si>
  <si>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</si>
  <si>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</si>
  <si>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</si>
  <si>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</si>
  <si>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</si>
  <si>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</si>
  <si>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</si>
  <si>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</si>
  <si>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</si>
  <si>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</si>
  <si>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</si>
  <si>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</si>
  <si>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</si>
  <si>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</si>
  <si>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</si>
  <si>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</si>
  <si>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</si>
  <si>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</si>
  <si>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</si>
  <si>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</si>
  <si>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</si>
  <si>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</si>
  <si>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</si>
  <si>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</si>
  <si>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</si>
  <si>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</si>
  <si>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</si>
  <si>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</si>
  <si>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</si>
  <si>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</si>
  <si>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</si>
  <si>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</si>
  <si>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</si>
  <si>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</si>
  <si>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</si>
  <si>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</si>
  <si>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</si>
  <si>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</si>
  <si>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</si>
  <si>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</si>
  <si>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</si>
  <si>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</si>
  <si>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</si>
  <si>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</si>
  <si>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</si>
  <si>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</si>
  <si>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</si>
  <si>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</si>
  <si>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</si>
  <si>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</si>
  <si>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</si>
  <si>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</si>
  <si>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</si>
  <si>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</si>
  <si>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</si>
  <si>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</si>
  <si>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</si>
  <si>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</si>
  <si>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</si>
  <si>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</si>
  <si>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</si>
  <si>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</si>
  <si>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</si>
  <si>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</si>
  <si>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</si>
  <si>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</si>
  <si>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</si>
  <si>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</si>
  <si>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</si>
  <si>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</si>
  <si>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</si>
  <si>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</si>
  <si>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VLOOKUP &amp; XLOOKUP QUESTIONS</t>
  </si>
  <si>
    <t>Q1</t>
  </si>
  <si>
    <t>Find the Unit Price of 'Laptop' using VLOOKUP</t>
  </si>
  <si>
    <t>Answer:</t>
  </si>
  <si>
    <t>Q2</t>
  </si>
  <si>
    <t>Find the Total Amount for Order ID 'ORD-1050' using XLOOKUP</t>
  </si>
  <si>
    <t>SUMIF &amp; SUMIFS QUESTIONS</t>
  </si>
  <si>
    <t>Q3</t>
  </si>
  <si>
    <t>Calculate total sales amount for 'North' region using SUMIF</t>
  </si>
  <si>
    <t>Q4</t>
  </si>
  <si>
    <t>Calculate total sales for 'Electronics' category in 'East' region using SUMIFS</t>
  </si>
  <si>
    <t>COUNTIF &amp; COUNTIFS QUESTIONS</t>
  </si>
  <si>
    <t>Q5</t>
  </si>
  <si>
    <t>Count how many orders are 'Completed' using COUNTIF</t>
  </si>
  <si>
    <t>Q6</t>
  </si>
  <si>
    <t>Count orders for 'John Smith' with 'Completed' status using COUNTIFS</t>
  </si>
  <si>
    <t>IF &amp; NESTED IF QUESTIONS</t>
  </si>
  <si>
    <t>Q7</t>
  </si>
  <si>
    <t>Create a formula: If Total Amount &gt; $1000 show 'High', if &gt; $500 show 'Medium', else 'Low'</t>
  </si>
  <si>
    <t>Answer (for row 2):</t>
  </si>
  <si>
    <t>INDEX-MATCH QUESTIONS</t>
  </si>
  <si>
    <t>Q8</t>
  </si>
  <si>
    <t>Find the Sales Rep for 'ORD-1075' using INDEX-MATCH</t>
  </si>
  <si>
    <t>Q9</t>
  </si>
  <si>
    <t>Find the Category for 'Monitor' using INDEX-MATCH</t>
  </si>
  <si>
    <t>AVERAGEIF &amp; AVERAGEIFS QUESTIONS</t>
  </si>
  <si>
    <t>Q10</t>
  </si>
  <si>
    <t>Calculate average Unit Price for 'Electronics' category using AVERAGEIF</t>
  </si>
  <si>
    <t>Q11</t>
  </si>
  <si>
    <t>Calculate average quantity for 'Completed' orders in 'South' region using AVERAGEIFS</t>
  </si>
  <si>
    <t>Criteria 1</t>
  </si>
  <si>
    <t>Criteria 2</t>
  </si>
  <si>
    <t>Total Amount Status</t>
  </si>
  <si>
    <t>Create DropDown for ORDERID</t>
  </si>
  <si>
    <t>Create DropDown for Category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</si>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</sst>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4"/>
      <color rgb="FFFFFFFF"/>
      <name val="Calibri"/>
    </font>
    <font>
      <b/>
      <sz val="12"/>
      <color rgb="FF1F4E78"/>
      <name val="Calibri"/>
    </font>
    <font>
      <sz val="10"/>
      <name val="Calibri"/>
    </font>
    <font>
      <sz val="11"/>
      <color rgb="FFFF0000"/>
      <name val="Calibri"/>
      <family val="2"/>
      <charset val="1"/>
    </font>
    <font>
      <b/>
      <sz val="15"/>
      <color theme="1"/>
      <name val="Calibri"/>
      <family val="2"/>
      <charset val="1"/>
    </font>
    <font>
      <b/>
      <sz val="15"/>
      <name val="Cambria"/>
      <family val="1"/>
    </font>
    <font>
      <b/>
      <i/>
      <sz val="15"/>
      <color rgb="FF0070C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/>
    <xf numFmtId="0" fontId="0" fillId="0" borderId="0" xfId="0"/>
    <xf numFmtId="0" fontId="5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5" borderId="0" xfId="0" applyFont="1" applyFill="1"/>
    <xf numFmtId="0" fontId="0" fillId="0" borderId="0" xfId="0" applyAlignment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15" workbookViewId="0">
      <selection activeCell="A4" sqref="A4"/>
    </sheetView>
  </sheetViews>
  <sheetFormatPr defaultRowHeight="14.4" x14ac:dyDescent="0.3"/>
  <cols>
    <col min="1" max="1" width="85" style="1" customWidth="1"/>
  </cols>
  <sheetData>
    <row r="1" spans="1:2" ht="18" x14ac:dyDescent="0.35">
      <c r="A1" s="22" t="s">
        <v>0</v>
      </c>
      <c r="B1" s="23"/>
    </row>
    <row r="2" spans="1:2" x14ac:dyDescent="0.3">
      <c r="A2"/>
    </row>
    <row r="3" spans="1:2" ht="15.6" x14ac:dyDescent="0.3">
      <c r="A3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</row>
    <row r="6" spans="1:2" x14ac:dyDescent="0.3">
      <c r="A6" s="3" t="s">
        <v>4</v>
      </c>
    </row>
    <row r="7" spans="1:2" x14ac:dyDescent="0.3">
      <c r="A7" s="3" t="s">
        <v>5</v>
      </c>
    </row>
    <row r="8" spans="1:2" x14ac:dyDescent="0.3">
      <c r="A8" s="3" t="s">
        <v>6</v>
      </c>
    </row>
    <row r="9" spans="1:2" x14ac:dyDescent="0.3">
      <c r="A9"/>
    </row>
    <row r="10" spans="1:2" ht="15.6" x14ac:dyDescent="0.3">
      <c r="A10" s="2" t="s">
        <v>7</v>
      </c>
    </row>
    <row r="11" spans="1:2" x14ac:dyDescent="0.3">
      <c r="A11" s="4" t="s">
        <v>8</v>
      </c>
    </row>
    <row r="12" spans="1:2" x14ac:dyDescent="0.3">
      <c r="A12" s="4" t="s">
        <v>9</v>
      </c>
    </row>
    <row r="13" spans="1:2" x14ac:dyDescent="0.3">
      <c r="A13" s="4" t="s">
        <v>10</v>
      </c>
    </row>
    <row r="14" spans="1:2" x14ac:dyDescent="0.3">
      <c r="A14" s="4" t="s">
        <v>11</v>
      </c>
    </row>
    <row r="15" spans="1:2" x14ac:dyDescent="0.3">
      <c r="A15"/>
    </row>
    <row r="16" spans="1:2" ht="15.6" x14ac:dyDescent="0.3">
      <c r="A16" s="2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/>
    </row>
    <row r="27" spans="1:1" ht="15.6" x14ac:dyDescent="0.3">
      <c r="A27" s="2" t="s">
        <v>22</v>
      </c>
    </row>
    <row r="28" spans="1:1" x14ac:dyDescent="0.3">
      <c r="A28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01"/>
  <sheetViews>
    <sheetView zoomScaleNormal="100" workbookViewId="0">
      <selection activeCell="H6" sqref="H6"/>
    </sheetView>
  </sheetViews>
  <sheetFormatPr defaultColWidth="8.6640625" defaultRowHeight="14.4" x14ac:dyDescent="0.3"/>
  <cols>
    <col min="1" max="2" width="12" style="5" customWidth="1"/>
    <col min="3" max="4" width="15" style="5" customWidth="1"/>
    <col min="5" max="5" width="10" style="5" customWidth="1"/>
    <col min="6" max="6" width="15" style="5" customWidth="1"/>
    <col min="7" max="7" width="10" style="5" customWidth="1"/>
    <col min="8" max="8" width="12" style="5" customWidth="1"/>
    <col min="9" max="9" width="15" style="5" customWidth="1"/>
    <col min="10" max="10" width="12" style="5" customWidth="1"/>
    <col min="11" max="11" width="20.33203125" bestFit="1" customWidth="1"/>
  </cols>
  <sheetData>
    <row r="1" spans="1:11" ht="15" customHeight="1" x14ac:dyDescent="0.3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196</v>
      </c>
    </row>
    <row r="2" spans="1:11" ht="15" hidden="1" customHeight="1" x14ac:dyDescent="0.3">
      <c r="A2" s="8" t="s">
        <v>38</v>
      </c>
      <c r="B2" s="18">
        <v>45376</v>
      </c>
      <c r="C2" s="8" t="s">
        <v>39</v>
      </c>
      <c r="D2" s="8" t="s">
        <v>40</v>
      </c>
      <c r="E2" s="8" t="s">
        <v>41</v>
      </c>
      <c r="F2" s="8" t="s">
        <v>42</v>
      </c>
      <c r="G2" s="21">
        <v>18</v>
      </c>
      <c r="H2" s="19">
        <v>186</v>
      </c>
      <c r="I2" s="19">
        <f t="shared" ref="I2:I33" si="0">G2*H2</f>
        <v>3348</v>
      </c>
      <c r="J2" s="8" t="s">
        <v>43</v>
      </c>
      <c r="K2" s="8"/>
    </row>
    <row r="3" spans="1:11" ht="15" hidden="1" customHeight="1" x14ac:dyDescent="0.3">
      <c r="A3" s="8" t="s">
        <v>44</v>
      </c>
      <c r="B3" s="18">
        <v>45628</v>
      </c>
      <c r="C3" s="8" t="s">
        <v>45</v>
      </c>
      <c r="D3" s="8" t="s">
        <v>40</v>
      </c>
      <c r="E3" s="8" t="s">
        <v>46</v>
      </c>
      <c r="F3" s="8" t="s">
        <v>42</v>
      </c>
      <c r="G3" s="21">
        <v>1</v>
      </c>
      <c r="H3" s="19">
        <v>298</v>
      </c>
      <c r="I3" s="19">
        <f t="shared" si="0"/>
        <v>298</v>
      </c>
      <c r="J3" s="8" t="s">
        <v>47</v>
      </c>
      <c r="K3" s="8"/>
    </row>
    <row r="4" spans="1:11" ht="15" hidden="1" customHeight="1" x14ac:dyDescent="0.3">
      <c r="A4" s="8" t="s">
        <v>48</v>
      </c>
      <c r="B4" s="18">
        <v>45390</v>
      </c>
      <c r="C4" s="8" t="s">
        <v>49</v>
      </c>
      <c r="D4" s="8" t="s">
        <v>40</v>
      </c>
      <c r="E4" s="8" t="s">
        <v>50</v>
      </c>
      <c r="F4" s="8" t="s">
        <v>42</v>
      </c>
      <c r="G4" s="21">
        <v>1</v>
      </c>
      <c r="H4" s="19">
        <v>379</v>
      </c>
      <c r="I4" s="19">
        <f t="shared" si="0"/>
        <v>379</v>
      </c>
      <c r="J4" s="8" t="s">
        <v>47</v>
      </c>
      <c r="K4" s="8"/>
    </row>
    <row r="5" spans="1:11" ht="15" hidden="1" customHeight="1" x14ac:dyDescent="0.3">
      <c r="A5" s="8" t="s">
        <v>51</v>
      </c>
      <c r="B5" s="18">
        <v>45597</v>
      </c>
      <c r="C5" s="8" t="s">
        <v>52</v>
      </c>
      <c r="D5" s="8" t="s">
        <v>40</v>
      </c>
      <c r="E5" s="8" t="s">
        <v>53</v>
      </c>
      <c r="F5" s="8" t="s">
        <v>54</v>
      </c>
      <c r="G5" s="21">
        <v>17</v>
      </c>
      <c r="H5" s="19">
        <v>53</v>
      </c>
      <c r="I5" s="19">
        <f t="shared" si="0"/>
        <v>901</v>
      </c>
      <c r="J5" s="8" t="s">
        <v>47</v>
      </c>
      <c r="K5" s="8"/>
    </row>
    <row r="6" spans="1:11" ht="15" customHeight="1" x14ac:dyDescent="0.3">
      <c r="A6" s="8" t="s">
        <v>55</v>
      </c>
      <c r="B6" s="18">
        <v>45609</v>
      </c>
      <c r="C6" s="8" t="s">
        <v>56</v>
      </c>
      <c r="D6" s="8" t="s">
        <v>40</v>
      </c>
      <c r="E6" s="8" t="s">
        <v>50</v>
      </c>
      <c r="F6" s="8" t="s">
        <v>57</v>
      </c>
      <c r="G6" s="21">
        <v>13</v>
      </c>
      <c r="H6" s="19">
        <v>482</v>
      </c>
      <c r="I6" s="19">
        <f t="shared" si="0"/>
        <v>6266</v>
      </c>
      <c r="J6" s="8" t="s">
        <v>43</v>
      </c>
      <c r="K6" s="8"/>
    </row>
    <row r="7" spans="1:11" ht="15" hidden="1" customHeight="1" x14ac:dyDescent="0.3">
      <c r="A7" s="8" t="s">
        <v>58</v>
      </c>
      <c r="B7" s="18">
        <v>45373</v>
      </c>
      <c r="C7" s="8" t="s">
        <v>59</v>
      </c>
      <c r="D7" s="8" t="s">
        <v>60</v>
      </c>
      <c r="E7" s="8" t="s">
        <v>53</v>
      </c>
      <c r="F7" s="8" t="s">
        <v>61</v>
      </c>
      <c r="G7" s="21">
        <v>15</v>
      </c>
      <c r="H7" s="19">
        <v>129</v>
      </c>
      <c r="I7" s="19">
        <f t="shared" si="0"/>
        <v>1935</v>
      </c>
      <c r="J7" s="8" t="s">
        <v>47</v>
      </c>
      <c r="K7" s="8"/>
    </row>
    <row r="8" spans="1:11" ht="15" hidden="1" customHeight="1" x14ac:dyDescent="0.3">
      <c r="A8" s="8" t="s">
        <v>62</v>
      </c>
      <c r="B8" s="18">
        <v>45579</v>
      </c>
      <c r="C8" s="8" t="s">
        <v>63</v>
      </c>
      <c r="D8" s="8" t="s">
        <v>40</v>
      </c>
      <c r="E8" s="8" t="s">
        <v>46</v>
      </c>
      <c r="F8" s="8" t="s">
        <v>57</v>
      </c>
      <c r="G8" s="21">
        <v>18</v>
      </c>
      <c r="H8" s="19">
        <v>291</v>
      </c>
      <c r="I8" s="19">
        <f t="shared" si="0"/>
        <v>5238</v>
      </c>
      <c r="J8" s="8" t="s">
        <v>64</v>
      </c>
      <c r="K8" s="8"/>
    </row>
    <row r="9" spans="1:11" ht="15" hidden="1" customHeight="1" x14ac:dyDescent="0.3">
      <c r="A9" s="8" t="s">
        <v>65</v>
      </c>
      <c r="B9" s="18">
        <v>45478</v>
      </c>
      <c r="C9" s="8" t="s">
        <v>66</v>
      </c>
      <c r="D9" s="8" t="s">
        <v>40</v>
      </c>
      <c r="E9" s="8" t="s">
        <v>53</v>
      </c>
      <c r="F9" s="8" t="s">
        <v>67</v>
      </c>
      <c r="G9" s="21">
        <v>14</v>
      </c>
      <c r="H9" s="19">
        <v>138</v>
      </c>
      <c r="I9" s="19">
        <f t="shared" si="0"/>
        <v>1932</v>
      </c>
      <c r="J9" s="8" t="s">
        <v>47</v>
      </c>
      <c r="K9" s="8"/>
    </row>
    <row r="10" spans="1:11" ht="15" customHeight="1" x14ac:dyDescent="0.3">
      <c r="A10" s="8" t="s">
        <v>68</v>
      </c>
      <c r="B10" s="18">
        <v>45469</v>
      </c>
      <c r="C10" s="8" t="s">
        <v>56</v>
      </c>
      <c r="D10" s="8" t="s">
        <v>40</v>
      </c>
      <c r="E10" s="8" t="s">
        <v>41</v>
      </c>
      <c r="F10" s="8" t="s">
        <v>54</v>
      </c>
      <c r="G10" s="21">
        <v>6</v>
      </c>
      <c r="H10" s="19">
        <v>481</v>
      </c>
      <c r="I10" s="19">
        <f t="shared" si="0"/>
        <v>2886</v>
      </c>
      <c r="J10" s="8" t="s">
        <v>47</v>
      </c>
      <c r="K10" s="8"/>
    </row>
    <row r="11" spans="1:11" ht="15" hidden="1" customHeight="1" x14ac:dyDescent="0.3">
      <c r="A11" s="8" t="s">
        <v>69</v>
      </c>
      <c r="B11" s="18">
        <v>45534</v>
      </c>
      <c r="C11" s="8" t="s">
        <v>52</v>
      </c>
      <c r="D11" s="8" t="s">
        <v>40</v>
      </c>
      <c r="E11" s="8" t="s">
        <v>50</v>
      </c>
      <c r="F11" s="8" t="s">
        <v>61</v>
      </c>
      <c r="G11" s="21">
        <v>20</v>
      </c>
      <c r="H11" s="19">
        <v>166</v>
      </c>
      <c r="I11" s="19">
        <f t="shared" si="0"/>
        <v>3320</v>
      </c>
      <c r="J11" s="8" t="s">
        <v>47</v>
      </c>
      <c r="K11" s="8"/>
    </row>
    <row r="12" spans="1:11" ht="15" hidden="1" customHeight="1" x14ac:dyDescent="0.3">
      <c r="A12" s="8" t="s">
        <v>70</v>
      </c>
      <c r="B12" s="18">
        <v>45416</v>
      </c>
      <c r="C12" s="8" t="s">
        <v>71</v>
      </c>
      <c r="D12" s="8" t="s">
        <v>40</v>
      </c>
      <c r="E12" s="8" t="s">
        <v>50</v>
      </c>
      <c r="F12" s="8" t="s">
        <v>57</v>
      </c>
      <c r="G12" s="21">
        <v>18</v>
      </c>
      <c r="H12" s="19">
        <v>121</v>
      </c>
      <c r="I12" s="19">
        <f t="shared" si="0"/>
        <v>2178</v>
      </c>
      <c r="J12" s="8" t="s">
        <v>64</v>
      </c>
      <c r="K12" s="8"/>
    </row>
    <row r="13" spans="1:11" ht="15" hidden="1" customHeight="1" x14ac:dyDescent="0.3">
      <c r="A13" s="8" t="s">
        <v>72</v>
      </c>
      <c r="B13" s="18">
        <v>45461</v>
      </c>
      <c r="C13" s="8" t="s">
        <v>49</v>
      </c>
      <c r="D13" s="8" t="s">
        <v>40</v>
      </c>
      <c r="E13" s="8" t="s">
        <v>50</v>
      </c>
      <c r="F13" s="8" t="s">
        <v>73</v>
      </c>
      <c r="G13" s="21">
        <v>14</v>
      </c>
      <c r="H13" s="19">
        <v>386</v>
      </c>
      <c r="I13" s="19">
        <f t="shared" si="0"/>
        <v>5404</v>
      </c>
      <c r="J13" s="8" t="s">
        <v>43</v>
      </c>
      <c r="K13" s="8"/>
    </row>
    <row r="14" spans="1:11" ht="15" hidden="1" customHeight="1" x14ac:dyDescent="0.3">
      <c r="A14" s="8" t="s">
        <v>74</v>
      </c>
      <c r="B14" s="18">
        <v>45519</v>
      </c>
      <c r="C14" s="8" t="s">
        <v>63</v>
      </c>
      <c r="D14" s="8" t="s">
        <v>40</v>
      </c>
      <c r="E14" s="8" t="s">
        <v>46</v>
      </c>
      <c r="F14" s="8" t="s">
        <v>42</v>
      </c>
      <c r="G14" s="21">
        <v>17</v>
      </c>
      <c r="H14" s="19">
        <v>500</v>
      </c>
      <c r="I14" s="19">
        <f t="shared" si="0"/>
        <v>8500</v>
      </c>
      <c r="J14" s="8" t="s">
        <v>47</v>
      </c>
      <c r="K14" s="8"/>
    </row>
    <row r="15" spans="1:11" ht="15" hidden="1" customHeight="1" x14ac:dyDescent="0.3">
      <c r="A15" s="8" t="s">
        <v>75</v>
      </c>
      <c r="B15" s="18">
        <v>45467</v>
      </c>
      <c r="C15" s="8" t="s">
        <v>59</v>
      </c>
      <c r="D15" s="8" t="s">
        <v>60</v>
      </c>
      <c r="E15" s="8" t="s">
        <v>76</v>
      </c>
      <c r="F15" s="8" t="s">
        <v>73</v>
      </c>
      <c r="G15" s="21">
        <v>2</v>
      </c>
      <c r="H15" s="19">
        <v>21</v>
      </c>
      <c r="I15" s="19">
        <f t="shared" si="0"/>
        <v>42</v>
      </c>
      <c r="J15" s="8" t="s">
        <v>47</v>
      </c>
      <c r="K15" s="8"/>
    </row>
    <row r="16" spans="1:11" ht="15" hidden="1" customHeight="1" x14ac:dyDescent="0.3">
      <c r="A16" s="8" t="s">
        <v>77</v>
      </c>
      <c r="B16" s="18">
        <v>45642</v>
      </c>
      <c r="C16" s="8" t="s">
        <v>52</v>
      </c>
      <c r="D16" s="8" t="s">
        <v>40</v>
      </c>
      <c r="E16" s="8" t="s">
        <v>41</v>
      </c>
      <c r="F16" s="8" t="s">
        <v>67</v>
      </c>
      <c r="G16" s="21">
        <v>17</v>
      </c>
      <c r="H16" s="19">
        <v>296</v>
      </c>
      <c r="I16" s="19">
        <f t="shared" si="0"/>
        <v>5032</v>
      </c>
      <c r="J16" s="8" t="s">
        <v>64</v>
      </c>
      <c r="K16" s="8"/>
    </row>
    <row r="17" spans="1:11" ht="15" hidden="1" customHeight="1" x14ac:dyDescent="0.3">
      <c r="A17" s="8" t="s">
        <v>78</v>
      </c>
      <c r="B17" s="18">
        <v>45576</v>
      </c>
      <c r="C17" s="8" t="s">
        <v>79</v>
      </c>
      <c r="D17" s="8" t="s">
        <v>40</v>
      </c>
      <c r="E17" s="8" t="s">
        <v>50</v>
      </c>
      <c r="F17" s="8" t="s">
        <v>67</v>
      </c>
      <c r="G17" s="21">
        <v>8</v>
      </c>
      <c r="H17" s="19">
        <v>106</v>
      </c>
      <c r="I17" s="19">
        <f t="shared" si="0"/>
        <v>848</v>
      </c>
      <c r="J17" s="8" t="s">
        <v>47</v>
      </c>
      <c r="K17" s="8"/>
    </row>
    <row r="18" spans="1:11" ht="15" hidden="1" customHeight="1" x14ac:dyDescent="0.3">
      <c r="A18" s="8" t="s">
        <v>80</v>
      </c>
      <c r="B18" s="18">
        <v>45358</v>
      </c>
      <c r="C18" s="8" t="s">
        <v>71</v>
      </c>
      <c r="D18" s="8" t="s">
        <v>40</v>
      </c>
      <c r="E18" s="8" t="s">
        <v>50</v>
      </c>
      <c r="F18" s="8" t="s">
        <v>61</v>
      </c>
      <c r="G18" s="21">
        <v>1</v>
      </c>
      <c r="H18" s="19">
        <v>272</v>
      </c>
      <c r="I18" s="19">
        <f t="shared" si="0"/>
        <v>272</v>
      </c>
      <c r="J18" s="8" t="s">
        <v>64</v>
      </c>
      <c r="K18" s="8"/>
    </row>
    <row r="19" spans="1:11" ht="15" customHeight="1" x14ac:dyDescent="0.3">
      <c r="A19" s="8" t="s">
        <v>81</v>
      </c>
      <c r="B19" s="18">
        <v>45499</v>
      </c>
      <c r="C19" s="8" t="s">
        <v>56</v>
      </c>
      <c r="D19" s="8" t="s">
        <v>40</v>
      </c>
      <c r="E19" s="8" t="s">
        <v>53</v>
      </c>
      <c r="F19" s="8" t="s">
        <v>73</v>
      </c>
      <c r="G19" s="21">
        <v>4</v>
      </c>
      <c r="H19" s="19">
        <v>419</v>
      </c>
      <c r="I19" s="19">
        <f t="shared" si="0"/>
        <v>1676</v>
      </c>
      <c r="J19" s="8" t="s">
        <v>64</v>
      </c>
      <c r="K19" s="8"/>
    </row>
    <row r="20" spans="1:11" ht="15" hidden="1" customHeight="1" x14ac:dyDescent="0.3">
      <c r="A20" s="8" t="s">
        <v>82</v>
      </c>
      <c r="B20" s="18">
        <v>45305</v>
      </c>
      <c r="C20" s="8" t="s">
        <v>66</v>
      </c>
      <c r="D20" s="8" t="s">
        <v>40</v>
      </c>
      <c r="E20" s="8" t="s">
        <v>53</v>
      </c>
      <c r="F20" s="8" t="s">
        <v>61</v>
      </c>
      <c r="G20" s="21">
        <v>20</v>
      </c>
      <c r="H20" s="19">
        <v>249</v>
      </c>
      <c r="I20" s="19">
        <f t="shared" si="0"/>
        <v>4980</v>
      </c>
      <c r="J20" s="8" t="s">
        <v>47</v>
      </c>
      <c r="K20" s="8"/>
    </row>
    <row r="21" spans="1:11" ht="15" hidden="1" customHeight="1" x14ac:dyDescent="0.3">
      <c r="A21" s="8" t="s">
        <v>83</v>
      </c>
      <c r="B21" s="18">
        <v>45401</v>
      </c>
      <c r="C21" s="8" t="s">
        <v>71</v>
      </c>
      <c r="D21" s="8" t="s">
        <v>40</v>
      </c>
      <c r="E21" s="8" t="s">
        <v>46</v>
      </c>
      <c r="F21" s="8" t="s">
        <v>73</v>
      </c>
      <c r="G21" s="21">
        <v>14</v>
      </c>
      <c r="H21" s="19">
        <v>13</v>
      </c>
      <c r="I21" s="19">
        <f t="shared" si="0"/>
        <v>182</v>
      </c>
      <c r="J21" s="8" t="s">
        <v>47</v>
      </c>
      <c r="K21" s="8"/>
    </row>
    <row r="22" spans="1:11" ht="15" hidden="1" customHeight="1" x14ac:dyDescent="0.3">
      <c r="A22" s="8" t="s">
        <v>84</v>
      </c>
      <c r="B22" s="18">
        <v>45413</v>
      </c>
      <c r="C22" s="8" t="s">
        <v>52</v>
      </c>
      <c r="D22" s="8" t="s">
        <v>40</v>
      </c>
      <c r="E22" s="8" t="s">
        <v>41</v>
      </c>
      <c r="F22" s="8" t="s">
        <v>57</v>
      </c>
      <c r="G22" s="21">
        <v>12</v>
      </c>
      <c r="H22" s="19">
        <v>344</v>
      </c>
      <c r="I22" s="19">
        <f t="shared" si="0"/>
        <v>4128</v>
      </c>
      <c r="J22" s="8" t="s">
        <v>47</v>
      </c>
      <c r="K22" s="8"/>
    </row>
    <row r="23" spans="1:11" ht="15" hidden="1" customHeight="1" x14ac:dyDescent="0.3">
      <c r="A23" s="8" t="s">
        <v>85</v>
      </c>
      <c r="B23" s="18">
        <v>45325</v>
      </c>
      <c r="C23" s="8" t="s">
        <v>71</v>
      </c>
      <c r="D23" s="8" t="s">
        <v>40</v>
      </c>
      <c r="E23" s="8" t="s">
        <v>76</v>
      </c>
      <c r="F23" s="8" t="s">
        <v>73</v>
      </c>
      <c r="G23" s="21">
        <v>19</v>
      </c>
      <c r="H23" s="19">
        <v>270</v>
      </c>
      <c r="I23" s="19">
        <f t="shared" si="0"/>
        <v>5130</v>
      </c>
      <c r="J23" s="8" t="s">
        <v>47</v>
      </c>
      <c r="K23" s="8"/>
    </row>
    <row r="24" spans="1:11" ht="15" customHeight="1" x14ac:dyDescent="0.3">
      <c r="A24" s="8" t="s">
        <v>86</v>
      </c>
      <c r="B24" s="18">
        <v>45516</v>
      </c>
      <c r="C24" s="8" t="s">
        <v>56</v>
      </c>
      <c r="D24" s="8" t="s">
        <v>40</v>
      </c>
      <c r="E24" s="8" t="s">
        <v>76</v>
      </c>
      <c r="F24" s="8" t="s">
        <v>57</v>
      </c>
      <c r="G24" s="21">
        <v>16</v>
      </c>
      <c r="H24" s="19">
        <v>227</v>
      </c>
      <c r="I24" s="19">
        <f t="shared" si="0"/>
        <v>3632</v>
      </c>
      <c r="J24" s="8" t="s">
        <v>64</v>
      </c>
      <c r="K24" s="8"/>
    </row>
    <row r="25" spans="1:11" ht="15" hidden="1" customHeight="1" x14ac:dyDescent="0.3">
      <c r="A25" s="8" t="s">
        <v>87</v>
      </c>
      <c r="B25" s="18">
        <v>45390</v>
      </c>
      <c r="C25" s="8" t="s">
        <v>39</v>
      </c>
      <c r="D25" s="8" t="s">
        <v>40</v>
      </c>
      <c r="E25" s="8" t="s">
        <v>50</v>
      </c>
      <c r="F25" s="8" t="s">
        <v>54</v>
      </c>
      <c r="G25" s="21">
        <v>8</v>
      </c>
      <c r="H25" s="19">
        <v>272</v>
      </c>
      <c r="I25" s="19">
        <f t="shared" si="0"/>
        <v>2176</v>
      </c>
      <c r="J25" s="8" t="s">
        <v>47</v>
      </c>
      <c r="K25" s="8"/>
    </row>
    <row r="26" spans="1:11" ht="15" hidden="1" customHeight="1" x14ac:dyDescent="0.3">
      <c r="A26" s="8" t="s">
        <v>88</v>
      </c>
      <c r="B26" s="18">
        <v>45569</v>
      </c>
      <c r="C26" s="8" t="s">
        <v>59</v>
      </c>
      <c r="D26" s="8" t="s">
        <v>60</v>
      </c>
      <c r="E26" s="8" t="s">
        <v>50</v>
      </c>
      <c r="F26" s="8" t="s">
        <v>67</v>
      </c>
      <c r="G26" s="21">
        <v>11</v>
      </c>
      <c r="H26" s="19">
        <v>120</v>
      </c>
      <c r="I26" s="19">
        <f t="shared" si="0"/>
        <v>1320</v>
      </c>
      <c r="J26" s="8" t="s">
        <v>64</v>
      </c>
      <c r="K26" s="8"/>
    </row>
    <row r="27" spans="1:11" ht="15" hidden="1" customHeight="1" x14ac:dyDescent="0.3">
      <c r="A27" s="8" t="s">
        <v>89</v>
      </c>
      <c r="B27" s="18">
        <v>45488</v>
      </c>
      <c r="C27" s="8" t="s">
        <v>39</v>
      </c>
      <c r="D27" s="8" t="s">
        <v>40</v>
      </c>
      <c r="E27" s="8" t="s">
        <v>41</v>
      </c>
      <c r="F27" s="8" t="s">
        <v>42</v>
      </c>
      <c r="G27" s="21">
        <v>2</v>
      </c>
      <c r="H27" s="19">
        <v>488</v>
      </c>
      <c r="I27" s="19">
        <f t="shared" si="0"/>
        <v>976</v>
      </c>
      <c r="J27" s="8" t="s">
        <v>43</v>
      </c>
      <c r="K27" s="8"/>
    </row>
    <row r="28" spans="1:11" ht="15" hidden="1" customHeight="1" x14ac:dyDescent="0.3">
      <c r="A28" s="8" t="s">
        <v>90</v>
      </c>
      <c r="B28" s="18">
        <v>45510</v>
      </c>
      <c r="C28" s="8" t="s">
        <v>52</v>
      </c>
      <c r="D28" s="8" t="s">
        <v>40</v>
      </c>
      <c r="E28" s="8" t="s">
        <v>76</v>
      </c>
      <c r="F28" s="8" t="s">
        <v>42</v>
      </c>
      <c r="G28" s="21">
        <v>12</v>
      </c>
      <c r="H28" s="19">
        <v>499</v>
      </c>
      <c r="I28" s="19">
        <f t="shared" si="0"/>
        <v>5988</v>
      </c>
      <c r="J28" s="8" t="s">
        <v>47</v>
      </c>
      <c r="K28" s="8"/>
    </row>
    <row r="29" spans="1:11" ht="15" hidden="1" customHeight="1" x14ac:dyDescent="0.3">
      <c r="A29" s="8" t="s">
        <v>91</v>
      </c>
      <c r="B29" s="18">
        <v>45314</v>
      </c>
      <c r="C29" s="8" t="s">
        <v>71</v>
      </c>
      <c r="D29" s="8" t="s">
        <v>40</v>
      </c>
      <c r="E29" s="8" t="s">
        <v>53</v>
      </c>
      <c r="F29" s="8" t="s">
        <v>67</v>
      </c>
      <c r="G29" s="21">
        <v>16</v>
      </c>
      <c r="H29" s="19">
        <v>144</v>
      </c>
      <c r="I29" s="19">
        <f t="shared" si="0"/>
        <v>2304</v>
      </c>
      <c r="J29" s="8" t="s">
        <v>47</v>
      </c>
      <c r="K29" s="8"/>
    </row>
    <row r="30" spans="1:11" ht="15" hidden="1" customHeight="1" x14ac:dyDescent="0.3">
      <c r="A30" s="8" t="s">
        <v>92</v>
      </c>
      <c r="B30" s="18">
        <v>45496</v>
      </c>
      <c r="C30" s="8" t="s">
        <v>71</v>
      </c>
      <c r="D30" s="8" t="s">
        <v>40</v>
      </c>
      <c r="E30" s="8" t="s">
        <v>41</v>
      </c>
      <c r="F30" s="8" t="s">
        <v>73</v>
      </c>
      <c r="G30" s="21">
        <v>1</v>
      </c>
      <c r="H30" s="19">
        <v>281</v>
      </c>
      <c r="I30" s="19">
        <f t="shared" si="0"/>
        <v>281</v>
      </c>
      <c r="J30" s="8" t="s">
        <v>64</v>
      </c>
      <c r="K30" s="8"/>
    </row>
    <row r="31" spans="1:11" ht="15" customHeight="1" x14ac:dyDescent="0.3">
      <c r="A31" s="8" t="s">
        <v>93</v>
      </c>
      <c r="B31" s="18">
        <v>45440</v>
      </c>
      <c r="C31" s="8" t="s">
        <v>56</v>
      </c>
      <c r="D31" s="8" t="s">
        <v>40</v>
      </c>
      <c r="E31" s="8" t="s">
        <v>46</v>
      </c>
      <c r="F31" s="8" t="s">
        <v>42</v>
      </c>
      <c r="G31" s="21">
        <v>11</v>
      </c>
      <c r="H31" s="19">
        <v>268</v>
      </c>
      <c r="I31" s="19">
        <f t="shared" si="0"/>
        <v>2948</v>
      </c>
      <c r="J31" s="8" t="s">
        <v>47</v>
      </c>
      <c r="K31" s="8"/>
    </row>
    <row r="32" spans="1:11" ht="15" hidden="1" customHeight="1" x14ac:dyDescent="0.3">
      <c r="A32" s="8" t="s">
        <v>94</v>
      </c>
      <c r="B32" s="18">
        <v>45603</v>
      </c>
      <c r="C32" s="8" t="s">
        <v>79</v>
      </c>
      <c r="D32" s="8" t="s">
        <v>40</v>
      </c>
      <c r="E32" s="8" t="s">
        <v>41</v>
      </c>
      <c r="F32" s="8" t="s">
        <v>57</v>
      </c>
      <c r="G32" s="21">
        <v>16</v>
      </c>
      <c r="H32" s="19">
        <v>109</v>
      </c>
      <c r="I32" s="19">
        <f t="shared" si="0"/>
        <v>1744</v>
      </c>
      <c r="J32" s="8" t="s">
        <v>47</v>
      </c>
      <c r="K32" s="8"/>
    </row>
    <row r="33" spans="1:11" ht="15" customHeight="1" x14ac:dyDescent="0.3">
      <c r="A33" s="8" t="s">
        <v>95</v>
      </c>
      <c r="B33" s="18">
        <v>45457</v>
      </c>
      <c r="C33" s="8" t="s">
        <v>56</v>
      </c>
      <c r="D33" s="8" t="s">
        <v>40</v>
      </c>
      <c r="E33" s="8" t="s">
        <v>50</v>
      </c>
      <c r="F33" s="8" t="s">
        <v>67</v>
      </c>
      <c r="G33" s="21">
        <v>18</v>
      </c>
      <c r="H33" s="19">
        <v>37</v>
      </c>
      <c r="I33" s="19">
        <f t="shared" si="0"/>
        <v>666</v>
      </c>
      <c r="J33" s="8" t="s">
        <v>64</v>
      </c>
      <c r="K33" s="8"/>
    </row>
    <row r="34" spans="1:11" ht="15" hidden="1" customHeight="1" x14ac:dyDescent="0.3">
      <c r="A34" s="8" t="s">
        <v>96</v>
      </c>
      <c r="B34" s="18">
        <v>45410</v>
      </c>
      <c r="C34" s="8" t="s">
        <v>45</v>
      </c>
      <c r="D34" s="8" t="s">
        <v>40</v>
      </c>
      <c r="E34" s="8" t="s">
        <v>53</v>
      </c>
      <c r="F34" s="8" t="s">
        <v>57</v>
      </c>
      <c r="G34" s="21">
        <v>20</v>
      </c>
      <c r="H34" s="19">
        <v>26</v>
      </c>
      <c r="I34" s="19">
        <f t="shared" ref="I34:I65" si="1">G34*H34</f>
        <v>520</v>
      </c>
      <c r="J34" s="8" t="s">
        <v>64</v>
      </c>
      <c r="K34" s="8"/>
    </row>
    <row r="35" spans="1:11" ht="15" hidden="1" customHeight="1" x14ac:dyDescent="0.3">
      <c r="A35" s="8" t="s">
        <v>97</v>
      </c>
      <c r="B35" s="18">
        <v>45530</v>
      </c>
      <c r="C35" s="8" t="s">
        <v>71</v>
      </c>
      <c r="D35" s="8" t="s">
        <v>40</v>
      </c>
      <c r="E35" s="8" t="s">
        <v>76</v>
      </c>
      <c r="F35" s="8" t="s">
        <v>54</v>
      </c>
      <c r="G35" s="21">
        <v>15</v>
      </c>
      <c r="H35" s="19">
        <v>433</v>
      </c>
      <c r="I35" s="19">
        <f t="shared" si="1"/>
        <v>6495</v>
      </c>
      <c r="J35" s="8" t="s">
        <v>43</v>
      </c>
      <c r="K35" s="8"/>
    </row>
    <row r="36" spans="1:11" ht="15" hidden="1" customHeight="1" x14ac:dyDescent="0.3">
      <c r="A36" s="8" t="s">
        <v>98</v>
      </c>
      <c r="B36" s="18">
        <v>45337</v>
      </c>
      <c r="C36" s="8" t="s">
        <v>63</v>
      </c>
      <c r="D36" s="8" t="s">
        <v>40</v>
      </c>
      <c r="E36" s="8" t="s">
        <v>41</v>
      </c>
      <c r="F36" s="8" t="s">
        <v>54</v>
      </c>
      <c r="G36" s="21">
        <v>3</v>
      </c>
      <c r="H36" s="19">
        <v>475</v>
      </c>
      <c r="I36" s="19">
        <f t="shared" si="1"/>
        <v>1425</v>
      </c>
      <c r="J36" s="8" t="s">
        <v>47</v>
      </c>
      <c r="K36" s="8"/>
    </row>
    <row r="37" spans="1:11" ht="15" hidden="1" customHeight="1" x14ac:dyDescent="0.3">
      <c r="A37" s="8" t="s">
        <v>99</v>
      </c>
      <c r="B37" s="18">
        <v>45538</v>
      </c>
      <c r="C37" s="8" t="s">
        <v>71</v>
      </c>
      <c r="D37" s="8" t="s">
        <v>40</v>
      </c>
      <c r="E37" s="8" t="s">
        <v>53</v>
      </c>
      <c r="F37" s="8" t="s">
        <v>67</v>
      </c>
      <c r="G37" s="21">
        <v>15</v>
      </c>
      <c r="H37" s="19">
        <v>421</v>
      </c>
      <c r="I37" s="19">
        <f t="shared" si="1"/>
        <v>6315</v>
      </c>
      <c r="J37" s="8" t="s">
        <v>47</v>
      </c>
      <c r="K37" s="8"/>
    </row>
    <row r="38" spans="1:11" ht="15" hidden="1" customHeight="1" x14ac:dyDescent="0.3">
      <c r="A38" s="8" t="s">
        <v>100</v>
      </c>
      <c r="B38" s="18">
        <v>45430</v>
      </c>
      <c r="C38" s="8" t="s">
        <v>39</v>
      </c>
      <c r="D38" s="8" t="s">
        <v>40</v>
      </c>
      <c r="E38" s="8" t="s">
        <v>46</v>
      </c>
      <c r="F38" s="8" t="s">
        <v>61</v>
      </c>
      <c r="G38" s="21">
        <v>11</v>
      </c>
      <c r="H38" s="19">
        <v>345</v>
      </c>
      <c r="I38" s="19">
        <f t="shared" si="1"/>
        <v>3795</v>
      </c>
      <c r="J38" s="8" t="s">
        <v>43</v>
      </c>
      <c r="K38" s="8"/>
    </row>
    <row r="39" spans="1:11" ht="15" hidden="1" customHeight="1" x14ac:dyDescent="0.3">
      <c r="A39" s="8" t="s">
        <v>101</v>
      </c>
      <c r="B39" s="18">
        <v>45575</v>
      </c>
      <c r="C39" s="8" t="s">
        <v>71</v>
      </c>
      <c r="D39" s="8" t="s">
        <v>40</v>
      </c>
      <c r="E39" s="8" t="s">
        <v>76</v>
      </c>
      <c r="F39" s="8" t="s">
        <v>42</v>
      </c>
      <c r="G39" s="21">
        <v>18</v>
      </c>
      <c r="H39" s="19">
        <v>396</v>
      </c>
      <c r="I39" s="19">
        <f t="shared" si="1"/>
        <v>7128</v>
      </c>
      <c r="J39" s="8" t="s">
        <v>64</v>
      </c>
      <c r="K39" s="8"/>
    </row>
    <row r="40" spans="1:11" ht="15" hidden="1" customHeight="1" x14ac:dyDescent="0.3">
      <c r="A40" s="8" t="s">
        <v>102</v>
      </c>
      <c r="B40" s="18">
        <v>45298</v>
      </c>
      <c r="C40" s="8" t="s">
        <v>71</v>
      </c>
      <c r="D40" s="8" t="s">
        <v>40</v>
      </c>
      <c r="E40" s="8" t="s">
        <v>50</v>
      </c>
      <c r="F40" s="8" t="s">
        <v>57</v>
      </c>
      <c r="G40" s="21">
        <v>6</v>
      </c>
      <c r="H40" s="19">
        <v>377</v>
      </c>
      <c r="I40" s="19">
        <f t="shared" si="1"/>
        <v>2262</v>
      </c>
      <c r="J40" s="8" t="s">
        <v>47</v>
      </c>
      <c r="K40" s="8"/>
    </row>
    <row r="41" spans="1:11" ht="15" hidden="1" customHeight="1" x14ac:dyDescent="0.3">
      <c r="A41" s="8" t="s">
        <v>103</v>
      </c>
      <c r="B41" s="18">
        <v>45558</v>
      </c>
      <c r="C41" s="8" t="s">
        <v>49</v>
      </c>
      <c r="D41" s="8" t="s">
        <v>40</v>
      </c>
      <c r="E41" s="8" t="s">
        <v>53</v>
      </c>
      <c r="F41" s="8" t="s">
        <v>67</v>
      </c>
      <c r="G41" s="21">
        <v>5</v>
      </c>
      <c r="H41" s="19">
        <v>252</v>
      </c>
      <c r="I41" s="19">
        <f t="shared" si="1"/>
        <v>1260</v>
      </c>
      <c r="J41" s="8" t="s">
        <v>47</v>
      </c>
      <c r="K41" s="8"/>
    </row>
    <row r="42" spans="1:11" ht="15" hidden="1" customHeight="1" x14ac:dyDescent="0.3">
      <c r="A42" s="8" t="s">
        <v>104</v>
      </c>
      <c r="B42" s="18">
        <v>45387</v>
      </c>
      <c r="C42" s="8" t="s">
        <v>66</v>
      </c>
      <c r="D42" s="8" t="s">
        <v>40</v>
      </c>
      <c r="E42" s="8" t="s">
        <v>53</v>
      </c>
      <c r="F42" s="8" t="s">
        <v>61</v>
      </c>
      <c r="G42" s="21">
        <v>10</v>
      </c>
      <c r="H42" s="19">
        <v>214</v>
      </c>
      <c r="I42" s="19">
        <f t="shared" si="1"/>
        <v>2140</v>
      </c>
      <c r="J42" s="8" t="s">
        <v>64</v>
      </c>
      <c r="K42" s="8"/>
    </row>
    <row r="43" spans="1:11" ht="15" hidden="1" customHeight="1" x14ac:dyDescent="0.3">
      <c r="A43" s="8" t="s">
        <v>105</v>
      </c>
      <c r="B43" s="18">
        <v>45328</v>
      </c>
      <c r="C43" s="8" t="s">
        <v>79</v>
      </c>
      <c r="D43" s="8" t="s">
        <v>40</v>
      </c>
      <c r="E43" s="8" t="s">
        <v>76</v>
      </c>
      <c r="F43" s="8" t="s">
        <v>67</v>
      </c>
      <c r="G43" s="21">
        <v>8</v>
      </c>
      <c r="H43" s="19">
        <v>10</v>
      </c>
      <c r="I43" s="19">
        <f t="shared" si="1"/>
        <v>80</v>
      </c>
      <c r="J43" s="8" t="s">
        <v>64</v>
      </c>
      <c r="K43" s="8"/>
    </row>
    <row r="44" spans="1:11" ht="15" customHeight="1" x14ac:dyDescent="0.3">
      <c r="A44" s="8" t="s">
        <v>106</v>
      </c>
      <c r="B44" s="18">
        <v>45320</v>
      </c>
      <c r="C44" s="8" t="s">
        <v>56</v>
      </c>
      <c r="D44" s="8" t="s">
        <v>40</v>
      </c>
      <c r="E44" s="8" t="s">
        <v>46</v>
      </c>
      <c r="F44" s="8" t="s">
        <v>57</v>
      </c>
      <c r="G44" s="21">
        <v>12</v>
      </c>
      <c r="H44" s="19">
        <v>481</v>
      </c>
      <c r="I44" s="19">
        <f t="shared" si="1"/>
        <v>5772</v>
      </c>
      <c r="J44" s="8" t="s">
        <v>64</v>
      </c>
      <c r="K44" s="8"/>
    </row>
    <row r="45" spans="1:11" ht="15" hidden="1" customHeight="1" x14ac:dyDescent="0.3">
      <c r="A45" s="8" t="s">
        <v>107</v>
      </c>
      <c r="B45" s="18">
        <v>45619</v>
      </c>
      <c r="C45" s="8" t="s">
        <v>59</v>
      </c>
      <c r="D45" s="8" t="s">
        <v>60</v>
      </c>
      <c r="E45" s="8" t="s">
        <v>53</v>
      </c>
      <c r="F45" s="8" t="s">
        <v>42</v>
      </c>
      <c r="G45" s="21">
        <v>7</v>
      </c>
      <c r="H45" s="19">
        <v>24</v>
      </c>
      <c r="I45" s="19">
        <f t="shared" si="1"/>
        <v>168</v>
      </c>
      <c r="J45" s="8" t="s">
        <v>43</v>
      </c>
      <c r="K45" s="8"/>
    </row>
    <row r="46" spans="1:11" ht="15" hidden="1" customHeight="1" x14ac:dyDescent="0.3">
      <c r="A46" s="8" t="s">
        <v>108</v>
      </c>
      <c r="B46" s="18">
        <v>45515</v>
      </c>
      <c r="C46" s="8" t="s">
        <v>59</v>
      </c>
      <c r="D46" s="8" t="s">
        <v>60</v>
      </c>
      <c r="E46" s="8" t="s">
        <v>46</v>
      </c>
      <c r="F46" s="8" t="s">
        <v>57</v>
      </c>
      <c r="G46" s="21">
        <v>6</v>
      </c>
      <c r="H46" s="19">
        <v>118</v>
      </c>
      <c r="I46" s="19">
        <f t="shared" si="1"/>
        <v>708</v>
      </c>
      <c r="J46" s="8" t="s">
        <v>43</v>
      </c>
      <c r="K46" s="8"/>
    </row>
    <row r="47" spans="1:11" ht="15" hidden="1" customHeight="1" x14ac:dyDescent="0.3">
      <c r="A47" s="8" t="s">
        <v>109</v>
      </c>
      <c r="B47" s="18">
        <v>45405</v>
      </c>
      <c r="C47" s="8" t="s">
        <v>66</v>
      </c>
      <c r="D47" s="8" t="s">
        <v>40</v>
      </c>
      <c r="E47" s="8" t="s">
        <v>50</v>
      </c>
      <c r="F47" s="8" t="s">
        <v>61</v>
      </c>
      <c r="G47" s="21">
        <v>14</v>
      </c>
      <c r="H47" s="19">
        <v>97</v>
      </c>
      <c r="I47" s="19">
        <f t="shared" si="1"/>
        <v>1358</v>
      </c>
      <c r="J47" s="8" t="s">
        <v>47</v>
      </c>
      <c r="K47" s="8"/>
    </row>
    <row r="48" spans="1:11" ht="15" hidden="1" customHeight="1" x14ac:dyDescent="0.3">
      <c r="A48" s="8" t="s">
        <v>110</v>
      </c>
      <c r="B48" s="18">
        <v>45461</v>
      </c>
      <c r="C48" s="8" t="s">
        <v>59</v>
      </c>
      <c r="D48" s="8" t="s">
        <v>60</v>
      </c>
      <c r="E48" s="8" t="s">
        <v>50</v>
      </c>
      <c r="F48" s="8" t="s">
        <v>54</v>
      </c>
      <c r="G48" s="21">
        <v>1</v>
      </c>
      <c r="H48" s="19">
        <v>319</v>
      </c>
      <c r="I48" s="19">
        <f t="shared" si="1"/>
        <v>319</v>
      </c>
      <c r="J48" s="8" t="s">
        <v>64</v>
      </c>
      <c r="K48" s="8"/>
    </row>
    <row r="49" spans="1:11" ht="15" hidden="1" customHeight="1" x14ac:dyDescent="0.3">
      <c r="A49" s="8" t="s">
        <v>111</v>
      </c>
      <c r="B49" s="18">
        <v>45627</v>
      </c>
      <c r="C49" s="8" t="s">
        <v>71</v>
      </c>
      <c r="D49" s="8" t="s">
        <v>40</v>
      </c>
      <c r="E49" s="8" t="s">
        <v>53</v>
      </c>
      <c r="F49" s="8" t="s">
        <v>73</v>
      </c>
      <c r="G49" s="21">
        <v>7</v>
      </c>
      <c r="H49" s="19">
        <v>57</v>
      </c>
      <c r="I49" s="19">
        <f t="shared" si="1"/>
        <v>399</v>
      </c>
      <c r="J49" s="8" t="s">
        <v>47</v>
      </c>
      <c r="K49" s="8"/>
    </row>
    <row r="50" spans="1:11" ht="15" hidden="1" customHeight="1" x14ac:dyDescent="0.3">
      <c r="A50" s="8" t="s">
        <v>112</v>
      </c>
      <c r="B50" s="18">
        <v>45466</v>
      </c>
      <c r="C50" s="8" t="s">
        <v>49</v>
      </c>
      <c r="D50" s="8" t="s">
        <v>40</v>
      </c>
      <c r="E50" s="8" t="s">
        <v>41</v>
      </c>
      <c r="F50" s="8" t="s">
        <v>61</v>
      </c>
      <c r="G50" s="21">
        <v>16</v>
      </c>
      <c r="H50" s="19">
        <v>424</v>
      </c>
      <c r="I50" s="19">
        <f t="shared" si="1"/>
        <v>6784</v>
      </c>
      <c r="J50" s="8" t="s">
        <v>47</v>
      </c>
      <c r="K50" s="8"/>
    </row>
    <row r="51" spans="1:11" ht="15" hidden="1" customHeight="1" x14ac:dyDescent="0.3">
      <c r="A51" s="8" t="s">
        <v>113</v>
      </c>
      <c r="B51" s="18">
        <v>45488</v>
      </c>
      <c r="C51" s="8" t="s">
        <v>66</v>
      </c>
      <c r="D51" s="8" t="s">
        <v>40</v>
      </c>
      <c r="E51" s="8" t="s">
        <v>53</v>
      </c>
      <c r="F51" s="8" t="s">
        <v>57</v>
      </c>
      <c r="G51" s="21">
        <v>16</v>
      </c>
      <c r="H51" s="19">
        <v>268</v>
      </c>
      <c r="I51" s="19">
        <f t="shared" si="1"/>
        <v>4288</v>
      </c>
      <c r="J51" s="8" t="s">
        <v>47</v>
      </c>
      <c r="K51" s="8"/>
    </row>
    <row r="52" spans="1:11" ht="15" hidden="1" customHeight="1" x14ac:dyDescent="0.3">
      <c r="A52" s="8" t="s">
        <v>114</v>
      </c>
      <c r="B52" s="18">
        <v>45425</v>
      </c>
      <c r="C52" s="8" t="s">
        <v>71</v>
      </c>
      <c r="D52" s="8" t="s">
        <v>40</v>
      </c>
      <c r="E52" s="8" t="s">
        <v>46</v>
      </c>
      <c r="F52" s="8" t="s">
        <v>73</v>
      </c>
      <c r="G52" s="21">
        <v>6</v>
      </c>
      <c r="H52" s="19">
        <v>13</v>
      </c>
      <c r="I52" s="19">
        <f t="shared" si="1"/>
        <v>78</v>
      </c>
      <c r="J52" s="8" t="s">
        <v>43</v>
      </c>
      <c r="K52" s="8"/>
    </row>
    <row r="53" spans="1:11" ht="15" hidden="1" customHeight="1" x14ac:dyDescent="0.3">
      <c r="A53" s="8" t="s">
        <v>115</v>
      </c>
      <c r="B53" s="18">
        <v>45514</v>
      </c>
      <c r="C53" s="8" t="s">
        <v>71</v>
      </c>
      <c r="D53" s="8" t="s">
        <v>40</v>
      </c>
      <c r="E53" s="8" t="s">
        <v>53</v>
      </c>
      <c r="F53" s="8" t="s">
        <v>54</v>
      </c>
      <c r="G53" s="21">
        <v>9</v>
      </c>
      <c r="H53" s="19">
        <v>269</v>
      </c>
      <c r="I53" s="19">
        <f t="shared" si="1"/>
        <v>2421</v>
      </c>
      <c r="J53" s="8" t="s">
        <v>47</v>
      </c>
      <c r="K53" s="8"/>
    </row>
    <row r="54" spans="1:11" ht="15" hidden="1" customHeight="1" x14ac:dyDescent="0.3">
      <c r="A54" s="8" t="s">
        <v>116</v>
      </c>
      <c r="B54" s="18">
        <v>45370</v>
      </c>
      <c r="C54" s="8" t="s">
        <v>52</v>
      </c>
      <c r="D54" s="8" t="s">
        <v>40</v>
      </c>
      <c r="E54" s="8" t="s">
        <v>46</v>
      </c>
      <c r="F54" s="8" t="s">
        <v>61</v>
      </c>
      <c r="G54" s="21">
        <v>3</v>
      </c>
      <c r="H54" s="19">
        <v>333</v>
      </c>
      <c r="I54" s="19">
        <f t="shared" si="1"/>
        <v>999</v>
      </c>
      <c r="J54" s="8" t="s">
        <v>47</v>
      </c>
      <c r="K54" s="8"/>
    </row>
    <row r="55" spans="1:11" ht="15" hidden="1" customHeight="1" x14ac:dyDescent="0.3">
      <c r="A55" s="8" t="s">
        <v>117</v>
      </c>
      <c r="B55" s="18">
        <v>45510</v>
      </c>
      <c r="C55" s="8" t="s">
        <v>49</v>
      </c>
      <c r="D55" s="8" t="s">
        <v>40</v>
      </c>
      <c r="E55" s="8" t="s">
        <v>50</v>
      </c>
      <c r="F55" s="8" t="s">
        <v>67</v>
      </c>
      <c r="G55" s="21">
        <v>8</v>
      </c>
      <c r="H55" s="19">
        <v>71</v>
      </c>
      <c r="I55" s="19">
        <f t="shared" si="1"/>
        <v>568</v>
      </c>
      <c r="J55" s="8" t="s">
        <v>43</v>
      </c>
      <c r="K55" s="8"/>
    </row>
    <row r="56" spans="1:11" ht="15" hidden="1" customHeight="1" x14ac:dyDescent="0.3">
      <c r="A56" s="8" t="s">
        <v>118</v>
      </c>
      <c r="B56" s="18">
        <v>45509</v>
      </c>
      <c r="C56" s="8" t="s">
        <v>49</v>
      </c>
      <c r="D56" s="8" t="s">
        <v>40</v>
      </c>
      <c r="E56" s="8" t="s">
        <v>41</v>
      </c>
      <c r="F56" s="8" t="s">
        <v>73</v>
      </c>
      <c r="G56" s="21">
        <v>14</v>
      </c>
      <c r="H56" s="19">
        <v>41</v>
      </c>
      <c r="I56" s="19">
        <f t="shared" si="1"/>
        <v>574</v>
      </c>
      <c r="J56" s="8" t="s">
        <v>47</v>
      </c>
      <c r="K56" s="8"/>
    </row>
    <row r="57" spans="1:11" ht="15" hidden="1" customHeight="1" x14ac:dyDescent="0.3">
      <c r="A57" s="8" t="s">
        <v>119</v>
      </c>
      <c r="B57" s="18">
        <v>45623</v>
      </c>
      <c r="C57" s="8" t="s">
        <v>63</v>
      </c>
      <c r="D57" s="8" t="s">
        <v>40</v>
      </c>
      <c r="E57" s="8" t="s">
        <v>50</v>
      </c>
      <c r="F57" s="8" t="s">
        <v>42</v>
      </c>
      <c r="G57" s="21">
        <v>10</v>
      </c>
      <c r="H57" s="19">
        <v>271</v>
      </c>
      <c r="I57" s="19">
        <f t="shared" si="1"/>
        <v>2710</v>
      </c>
      <c r="J57" s="8" t="s">
        <v>47</v>
      </c>
      <c r="K57" s="8"/>
    </row>
    <row r="58" spans="1:11" ht="15" hidden="1" customHeight="1" x14ac:dyDescent="0.3">
      <c r="A58" s="8" t="s">
        <v>120</v>
      </c>
      <c r="B58" s="18">
        <v>45624</v>
      </c>
      <c r="C58" s="8" t="s">
        <v>49</v>
      </c>
      <c r="D58" s="8" t="s">
        <v>40</v>
      </c>
      <c r="E58" s="8" t="s">
        <v>76</v>
      </c>
      <c r="F58" s="8" t="s">
        <v>54</v>
      </c>
      <c r="G58" s="21">
        <v>13</v>
      </c>
      <c r="H58" s="19">
        <v>68</v>
      </c>
      <c r="I58" s="19">
        <f t="shared" si="1"/>
        <v>884</v>
      </c>
      <c r="J58" s="8" t="s">
        <v>47</v>
      </c>
      <c r="K58" s="8"/>
    </row>
    <row r="59" spans="1:11" ht="15" hidden="1" customHeight="1" x14ac:dyDescent="0.3">
      <c r="A59" s="8" t="s">
        <v>121</v>
      </c>
      <c r="B59" s="18">
        <v>45322</v>
      </c>
      <c r="C59" s="8" t="s">
        <v>49</v>
      </c>
      <c r="D59" s="8" t="s">
        <v>40</v>
      </c>
      <c r="E59" s="8" t="s">
        <v>53</v>
      </c>
      <c r="F59" s="8" t="s">
        <v>67</v>
      </c>
      <c r="G59" s="21">
        <v>17</v>
      </c>
      <c r="H59" s="19">
        <v>258</v>
      </c>
      <c r="I59" s="19">
        <f t="shared" si="1"/>
        <v>4386</v>
      </c>
      <c r="J59" s="8" t="s">
        <v>47</v>
      </c>
      <c r="K59" s="8"/>
    </row>
    <row r="60" spans="1:11" ht="15" hidden="1" customHeight="1" x14ac:dyDescent="0.3">
      <c r="A60" s="8" t="s">
        <v>122</v>
      </c>
      <c r="B60" s="18">
        <v>45641</v>
      </c>
      <c r="C60" s="8" t="s">
        <v>79</v>
      </c>
      <c r="D60" s="8" t="s">
        <v>40</v>
      </c>
      <c r="E60" s="8" t="s">
        <v>41</v>
      </c>
      <c r="F60" s="8" t="s">
        <v>42</v>
      </c>
      <c r="G60" s="21">
        <v>20</v>
      </c>
      <c r="H60" s="19">
        <v>453</v>
      </c>
      <c r="I60" s="19">
        <f t="shared" si="1"/>
        <v>9060</v>
      </c>
      <c r="J60" s="8" t="s">
        <v>43</v>
      </c>
      <c r="K60" s="8"/>
    </row>
    <row r="61" spans="1:11" ht="15" hidden="1" customHeight="1" x14ac:dyDescent="0.3">
      <c r="A61" s="8" t="s">
        <v>123</v>
      </c>
      <c r="B61" s="18">
        <v>45593</v>
      </c>
      <c r="C61" s="8" t="s">
        <v>52</v>
      </c>
      <c r="D61" s="8" t="s">
        <v>40</v>
      </c>
      <c r="E61" s="8" t="s">
        <v>41</v>
      </c>
      <c r="F61" s="8" t="s">
        <v>73</v>
      </c>
      <c r="G61" s="21">
        <v>15</v>
      </c>
      <c r="H61" s="19">
        <v>295</v>
      </c>
      <c r="I61" s="19">
        <f t="shared" si="1"/>
        <v>4425</v>
      </c>
      <c r="J61" s="8" t="s">
        <v>47</v>
      </c>
      <c r="K61" s="8"/>
    </row>
    <row r="62" spans="1:11" ht="15" hidden="1" customHeight="1" x14ac:dyDescent="0.3">
      <c r="A62" s="8" t="s">
        <v>124</v>
      </c>
      <c r="B62" s="18">
        <v>45405</v>
      </c>
      <c r="C62" s="8" t="s">
        <v>45</v>
      </c>
      <c r="D62" s="8" t="s">
        <v>40</v>
      </c>
      <c r="E62" s="8" t="s">
        <v>76</v>
      </c>
      <c r="F62" s="8" t="s">
        <v>73</v>
      </c>
      <c r="G62" s="21">
        <v>1</v>
      </c>
      <c r="H62" s="19">
        <v>385</v>
      </c>
      <c r="I62" s="19">
        <f t="shared" si="1"/>
        <v>385</v>
      </c>
      <c r="J62" s="8" t="s">
        <v>47</v>
      </c>
      <c r="K62" s="8"/>
    </row>
    <row r="63" spans="1:11" ht="15" hidden="1" customHeight="1" x14ac:dyDescent="0.3">
      <c r="A63" s="8" t="s">
        <v>125</v>
      </c>
      <c r="B63" s="18">
        <v>45317</v>
      </c>
      <c r="C63" s="8" t="s">
        <v>63</v>
      </c>
      <c r="D63" s="8" t="s">
        <v>40</v>
      </c>
      <c r="E63" s="8" t="s">
        <v>76</v>
      </c>
      <c r="F63" s="8" t="s">
        <v>67</v>
      </c>
      <c r="G63" s="21">
        <v>2</v>
      </c>
      <c r="H63" s="19">
        <v>185</v>
      </c>
      <c r="I63" s="19">
        <f t="shared" si="1"/>
        <v>370</v>
      </c>
      <c r="J63" s="8" t="s">
        <v>47</v>
      </c>
      <c r="K63" s="8"/>
    </row>
    <row r="64" spans="1:11" ht="15" hidden="1" customHeight="1" x14ac:dyDescent="0.3">
      <c r="A64" s="8" t="s">
        <v>126</v>
      </c>
      <c r="B64" s="18">
        <v>45640</v>
      </c>
      <c r="C64" s="8" t="s">
        <v>66</v>
      </c>
      <c r="D64" s="8" t="s">
        <v>40</v>
      </c>
      <c r="E64" s="8" t="s">
        <v>41</v>
      </c>
      <c r="F64" s="8" t="s">
        <v>42</v>
      </c>
      <c r="G64" s="21">
        <v>17</v>
      </c>
      <c r="H64" s="19">
        <v>439</v>
      </c>
      <c r="I64" s="19">
        <f t="shared" si="1"/>
        <v>7463</v>
      </c>
      <c r="J64" s="8" t="s">
        <v>47</v>
      </c>
      <c r="K64" s="8"/>
    </row>
    <row r="65" spans="1:11" ht="15" hidden="1" customHeight="1" x14ac:dyDescent="0.3">
      <c r="A65" s="8" t="s">
        <v>127</v>
      </c>
      <c r="B65" s="18">
        <v>45542</v>
      </c>
      <c r="C65" s="8" t="s">
        <v>52</v>
      </c>
      <c r="D65" s="8" t="s">
        <v>40</v>
      </c>
      <c r="E65" s="8" t="s">
        <v>76</v>
      </c>
      <c r="F65" s="8" t="s">
        <v>57</v>
      </c>
      <c r="G65" s="21">
        <v>19</v>
      </c>
      <c r="H65" s="19">
        <v>426</v>
      </c>
      <c r="I65" s="19">
        <f t="shared" si="1"/>
        <v>8094</v>
      </c>
      <c r="J65" s="8" t="s">
        <v>47</v>
      </c>
      <c r="K65" s="8"/>
    </row>
    <row r="66" spans="1:11" ht="15" hidden="1" customHeight="1" x14ac:dyDescent="0.3">
      <c r="A66" s="8" t="s">
        <v>128</v>
      </c>
      <c r="B66" s="18">
        <v>45573</v>
      </c>
      <c r="C66" s="8" t="s">
        <v>63</v>
      </c>
      <c r="D66" s="8" t="s">
        <v>40</v>
      </c>
      <c r="E66" s="8" t="s">
        <v>46</v>
      </c>
      <c r="F66" s="8" t="s">
        <v>54</v>
      </c>
      <c r="G66" s="21">
        <v>19</v>
      </c>
      <c r="H66" s="19">
        <v>342</v>
      </c>
      <c r="I66" s="19">
        <f t="shared" ref="I66:I97" si="2">G66*H66</f>
        <v>6498</v>
      </c>
      <c r="J66" s="8" t="s">
        <v>43</v>
      </c>
      <c r="K66" s="8"/>
    </row>
    <row r="67" spans="1:11" ht="15" hidden="1" customHeight="1" x14ac:dyDescent="0.3">
      <c r="A67" s="8" t="s">
        <v>129</v>
      </c>
      <c r="B67" s="18">
        <v>45337</v>
      </c>
      <c r="C67" s="8" t="s">
        <v>39</v>
      </c>
      <c r="D67" s="8" t="s">
        <v>40</v>
      </c>
      <c r="E67" s="8" t="s">
        <v>41</v>
      </c>
      <c r="F67" s="8" t="s">
        <v>73</v>
      </c>
      <c r="G67" s="21">
        <v>3</v>
      </c>
      <c r="H67" s="19">
        <v>492</v>
      </c>
      <c r="I67" s="19">
        <f t="shared" si="2"/>
        <v>1476</v>
      </c>
      <c r="J67" s="8" t="s">
        <v>47</v>
      </c>
      <c r="K67" s="8"/>
    </row>
    <row r="68" spans="1:11" ht="15" hidden="1" customHeight="1" x14ac:dyDescent="0.3">
      <c r="A68" s="8" t="s">
        <v>130</v>
      </c>
      <c r="B68" s="18">
        <v>45540</v>
      </c>
      <c r="C68" s="8" t="s">
        <v>59</v>
      </c>
      <c r="D68" s="8" t="s">
        <v>60</v>
      </c>
      <c r="E68" s="8" t="s">
        <v>46</v>
      </c>
      <c r="F68" s="8" t="s">
        <v>73</v>
      </c>
      <c r="G68" s="21">
        <v>7</v>
      </c>
      <c r="H68" s="19">
        <v>239</v>
      </c>
      <c r="I68" s="19">
        <f t="shared" si="2"/>
        <v>1673</v>
      </c>
      <c r="J68" s="8" t="s">
        <v>43</v>
      </c>
      <c r="K68" s="8"/>
    </row>
    <row r="69" spans="1:11" ht="15" hidden="1" customHeight="1" x14ac:dyDescent="0.3">
      <c r="A69" s="8" t="s">
        <v>131</v>
      </c>
      <c r="B69" s="18">
        <v>45499</v>
      </c>
      <c r="C69" s="8" t="s">
        <v>39</v>
      </c>
      <c r="D69" s="8" t="s">
        <v>40</v>
      </c>
      <c r="E69" s="8" t="s">
        <v>76</v>
      </c>
      <c r="F69" s="8" t="s">
        <v>73</v>
      </c>
      <c r="G69" s="21">
        <v>16</v>
      </c>
      <c r="H69" s="19">
        <v>231</v>
      </c>
      <c r="I69" s="19">
        <f t="shared" si="2"/>
        <v>3696</v>
      </c>
      <c r="J69" s="8" t="s">
        <v>47</v>
      </c>
      <c r="K69" s="8"/>
    </row>
    <row r="70" spans="1:11" ht="15" hidden="1" customHeight="1" x14ac:dyDescent="0.3">
      <c r="A70" s="8" t="s">
        <v>132</v>
      </c>
      <c r="B70" s="18">
        <v>45432</v>
      </c>
      <c r="C70" s="8" t="s">
        <v>39</v>
      </c>
      <c r="D70" s="8" t="s">
        <v>40</v>
      </c>
      <c r="E70" s="8" t="s">
        <v>46</v>
      </c>
      <c r="F70" s="8" t="s">
        <v>67</v>
      </c>
      <c r="G70" s="21">
        <v>14</v>
      </c>
      <c r="H70" s="19">
        <v>223</v>
      </c>
      <c r="I70" s="19">
        <f t="shared" si="2"/>
        <v>3122</v>
      </c>
      <c r="J70" s="8" t="s">
        <v>64</v>
      </c>
      <c r="K70" s="8"/>
    </row>
    <row r="71" spans="1:11" ht="15" hidden="1" customHeight="1" x14ac:dyDescent="0.3">
      <c r="A71" s="8" t="s">
        <v>133</v>
      </c>
      <c r="B71" s="18">
        <v>45386</v>
      </c>
      <c r="C71" s="8" t="s">
        <v>66</v>
      </c>
      <c r="D71" s="8" t="s">
        <v>40</v>
      </c>
      <c r="E71" s="8" t="s">
        <v>53</v>
      </c>
      <c r="F71" s="8" t="s">
        <v>42</v>
      </c>
      <c r="G71" s="21">
        <v>1</v>
      </c>
      <c r="H71" s="19">
        <v>346</v>
      </c>
      <c r="I71" s="19">
        <f t="shared" si="2"/>
        <v>346</v>
      </c>
      <c r="J71" s="8" t="s">
        <v>47</v>
      </c>
      <c r="K71" s="8"/>
    </row>
    <row r="72" spans="1:11" ht="15" hidden="1" customHeight="1" x14ac:dyDescent="0.3">
      <c r="A72" s="8" t="s">
        <v>134</v>
      </c>
      <c r="B72" s="18">
        <v>45504</v>
      </c>
      <c r="C72" s="8" t="s">
        <v>39</v>
      </c>
      <c r="D72" s="8" t="s">
        <v>40</v>
      </c>
      <c r="E72" s="8" t="s">
        <v>76</v>
      </c>
      <c r="F72" s="8" t="s">
        <v>67</v>
      </c>
      <c r="G72" s="21">
        <v>12</v>
      </c>
      <c r="H72" s="19">
        <v>380</v>
      </c>
      <c r="I72" s="19">
        <f t="shared" si="2"/>
        <v>4560</v>
      </c>
      <c r="J72" s="8" t="s">
        <v>47</v>
      </c>
      <c r="K72" s="8"/>
    </row>
    <row r="73" spans="1:11" ht="15" hidden="1" customHeight="1" x14ac:dyDescent="0.3">
      <c r="A73" s="8" t="s">
        <v>135</v>
      </c>
      <c r="B73" s="18">
        <v>45453</v>
      </c>
      <c r="C73" s="8" t="s">
        <v>71</v>
      </c>
      <c r="D73" s="8" t="s">
        <v>40</v>
      </c>
      <c r="E73" s="8" t="s">
        <v>46</v>
      </c>
      <c r="F73" s="8" t="s">
        <v>54</v>
      </c>
      <c r="G73" s="21">
        <v>8</v>
      </c>
      <c r="H73" s="19">
        <v>308</v>
      </c>
      <c r="I73" s="19">
        <f t="shared" si="2"/>
        <v>2464</v>
      </c>
      <c r="J73" s="8" t="s">
        <v>43</v>
      </c>
      <c r="K73" s="8"/>
    </row>
    <row r="74" spans="1:11" ht="15" hidden="1" customHeight="1" x14ac:dyDescent="0.3">
      <c r="A74" s="8" t="s">
        <v>136</v>
      </c>
      <c r="B74" s="18">
        <v>45648</v>
      </c>
      <c r="C74" s="8" t="s">
        <v>63</v>
      </c>
      <c r="D74" s="8" t="s">
        <v>40</v>
      </c>
      <c r="E74" s="8" t="s">
        <v>46</v>
      </c>
      <c r="F74" s="8" t="s">
        <v>57</v>
      </c>
      <c r="G74" s="21">
        <v>20</v>
      </c>
      <c r="H74" s="19">
        <v>477</v>
      </c>
      <c r="I74" s="19">
        <f t="shared" si="2"/>
        <v>9540</v>
      </c>
      <c r="J74" s="8" t="s">
        <v>47</v>
      </c>
      <c r="K74" s="8"/>
    </row>
    <row r="75" spans="1:11" ht="15" hidden="1" customHeight="1" x14ac:dyDescent="0.3">
      <c r="A75" s="8" t="s">
        <v>137</v>
      </c>
      <c r="B75" s="18">
        <v>45518</v>
      </c>
      <c r="C75" s="8" t="s">
        <v>63</v>
      </c>
      <c r="D75" s="8" t="s">
        <v>40</v>
      </c>
      <c r="E75" s="8" t="s">
        <v>41</v>
      </c>
      <c r="F75" s="8" t="s">
        <v>54</v>
      </c>
      <c r="G75" s="21">
        <v>8</v>
      </c>
      <c r="H75" s="19">
        <v>279</v>
      </c>
      <c r="I75" s="19">
        <f t="shared" si="2"/>
        <v>2232</v>
      </c>
      <c r="J75" s="8" t="s">
        <v>64</v>
      </c>
      <c r="K75" s="8"/>
    </row>
    <row r="76" spans="1:11" ht="15" hidden="1" customHeight="1" x14ac:dyDescent="0.3">
      <c r="A76" s="8" t="s">
        <v>138</v>
      </c>
      <c r="B76" s="18">
        <v>45646</v>
      </c>
      <c r="C76" s="8" t="s">
        <v>49</v>
      </c>
      <c r="D76" s="8" t="s">
        <v>40</v>
      </c>
      <c r="E76" s="8" t="s">
        <v>46</v>
      </c>
      <c r="F76" s="8" t="s">
        <v>61</v>
      </c>
      <c r="G76" s="21">
        <v>20</v>
      </c>
      <c r="H76" s="19">
        <v>383</v>
      </c>
      <c r="I76" s="19">
        <f t="shared" si="2"/>
        <v>7660</v>
      </c>
      <c r="J76" s="8" t="s">
        <v>43</v>
      </c>
      <c r="K76" s="8"/>
    </row>
    <row r="77" spans="1:11" ht="15" hidden="1" customHeight="1" x14ac:dyDescent="0.3">
      <c r="A77" s="8" t="s">
        <v>139</v>
      </c>
      <c r="B77" s="18">
        <v>45466</v>
      </c>
      <c r="C77" s="8" t="s">
        <v>66</v>
      </c>
      <c r="D77" s="8" t="s">
        <v>40</v>
      </c>
      <c r="E77" s="8" t="s">
        <v>53</v>
      </c>
      <c r="F77" s="8" t="s">
        <v>73</v>
      </c>
      <c r="G77" s="21">
        <v>1</v>
      </c>
      <c r="H77" s="19">
        <v>174</v>
      </c>
      <c r="I77" s="19">
        <f t="shared" si="2"/>
        <v>174</v>
      </c>
      <c r="J77" s="8" t="s">
        <v>64</v>
      </c>
      <c r="K77" s="8"/>
    </row>
    <row r="78" spans="1:11" ht="15" hidden="1" customHeight="1" x14ac:dyDescent="0.3">
      <c r="A78" s="8" t="s">
        <v>140</v>
      </c>
      <c r="B78" s="18">
        <v>45473</v>
      </c>
      <c r="C78" s="8" t="s">
        <v>79</v>
      </c>
      <c r="D78" s="8" t="s">
        <v>40</v>
      </c>
      <c r="E78" s="8" t="s">
        <v>41</v>
      </c>
      <c r="F78" s="8" t="s">
        <v>67</v>
      </c>
      <c r="G78" s="21">
        <v>11</v>
      </c>
      <c r="H78" s="19">
        <v>351</v>
      </c>
      <c r="I78" s="19">
        <f t="shared" si="2"/>
        <v>3861</v>
      </c>
      <c r="J78" s="8" t="s">
        <v>43</v>
      </c>
      <c r="K78" s="8"/>
    </row>
    <row r="79" spans="1:11" ht="15" hidden="1" customHeight="1" x14ac:dyDescent="0.3">
      <c r="A79" s="8" t="s">
        <v>141</v>
      </c>
      <c r="B79" s="18">
        <v>45516</v>
      </c>
      <c r="C79" s="8" t="s">
        <v>39</v>
      </c>
      <c r="D79" s="8" t="s">
        <v>40</v>
      </c>
      <c r="E79" s="8" t="s">
        <v>53</v>
      </c>
      <c r="F79" s="8" t="s">
        <v>67</v>
      </c>
      <c r="G79" s="21">
        <v>10</v>
      </c>
      <c r="H79" s="19">
        <v>137</v>
      </c>
      <c r="I79" s="19">
        <f t="shared" si="2"/>
        <v>1370</v>
      </c>
      <c r="J79" s="8" t="s">
        <v>47</v>
      </c>
      <c r="K79" s="8"/>
    </row>
    <row r="80" spans="1:11" ht="15" hidden="1" customHeight="1" x14ac:dyDescent="0.3">
      <c r="A80" s="8" t="s">
        <v>142</v>
      </c>
      <c r="B80" s="18">
        <v>45550</v>
      </c>
      <c r="C80" s="8" t="s">
        <v>79</v>
      </c>
      <c r="D80" s="8" t="s">
        <v>40</v>
      </c>
      <c r="E80" s="8" t="s">
        <v>41</v>
      </c>
      <c r="F80" s="8" t="s">
        <v>42</v>
      </c>
      <c r="G80" s="21">
        <v>12</v>
      </c>
      <c r="H80" s="19">
        <v>437</v>
      </c>
      <c r="I80" s="19">
        <f t="shared" si="2"/>
        <v>5244</v>
      </c>
      <c r="J80" s="8" t="s">
        <v>47</v>
      </c>
      <c r="K80" s="8"/>
    </row>
    <row r="81" spans="1:11" ht="15" hidden="1" customHeight="1" x14ac:dyDescent="0.3">
      <c r="A81" s="8" t="s">
        <v>143</v>
      </c>
      <c r="B81" s="18">
        <v>45490</v>
      </c>
      <c r="C81" s="8" t="s">
        <v>52</v>
      </c>
      <c r="D81" s="8" t="s">
        <v>40</v>
      </c>
      <c r="E81" s="8" t="s">
        <v>50</v>
      </c>
      <c r="F81" s="8" t="s">
        <v>67</v>
      </c>
      <c r="G81" s="21">
        <v>5</v>
      </c>
      <c r="H81" s="19">
        <v>290</v>
      </c>
      <c r="I81" s="19">
        <f t="shared" si="2"/>
        <v>1450</v>
      </c>
      <c r="J81" s="8" t="s">
        <v>43</v>
      </c>
      <c r="K81" s="8"/>
    </row>
    <row r="82" spans="1:11" ht="15" hidden="1" customHeight="1" x14ac:dyDescent="0.3">
      <c r="A82" s="8" t="s">
        <v>144</v>
      </c>
      <c r="B82" s="18">
        <v>45584</v>
      </c>
      <c r="C82" s="8" t="s">
        <v>59</v>
      </c>
      <c r="D82" s="8" t="s">
        <v>60</v>
      </c>
      <c r="E82" s="8" t="s">
        <v>41</v>
      </c>
      <c r="F82" s="8" t="s">
        <v>73</v>
      </c>
      <c r="G82" s="21">
        <v>11</v>
      </c>
      <c r="H82" s="19">
        <v>160</v>
      </c>
      <c r="I82" s="19">
        <f t="shared" si="2"/>
        <v>1760</v>
      </c>
      <c r="J82" s="8" t="s">
        <v>47</v>
      </c>
      <c r="K82" s="8"/>
    </row>
    <row r="83" spans="1:11" ht="15" hidden="1" customHeight="1" x14ac:dyDescent="0.3">
      <c r="A83" s="8" t="s">
        <v>145</v>
      </c>
      <c r="B83" s="18">
        <v>45325</v>
      </c>
      <c r="C83" s="8" t="s">
        <v>66</v>
      </c>
      <c r="D83" s="8" t="s">
        <v>40</v>
      </c>
      <c r="E83" s="8" t="s">
        <v>50</v>
      </c>
      <c r="F83" s="8" t="s">
        <v>67</v>
      </c>
      <c r="G83" s="21">
        <v>18</v>
      </c>
      <c r="H83" s="19">
        <v>407</v>
      </c>
      <c r="I83" s="19">
        <f t="shared" si="2"/>
        <v>7326</v>
      </c>
      <c r="J83" s="8" t="s">
        <v>47</v>
      </c>
      <c r="K83" s="8"/>
    </row>
    <row r="84" spans="1:11" ht="15" hidden="1" customHeight="1" x14ac:dyDescent="0.3">
      <c r="A84" s="8" t="s">
        <v>146</v>
      </c>
      <c r="B84" s="18">
        <v>45622</v>
      </c>
      <c r="C84" s="8" t="s">
        <v>79</v>
      </c>
      <c r="D84" s="8" t="s">
        <v>40</v>
      </c>
      <c r="E84" s="8" t="s">
        <v>46</v>
      </c>
      <c r="F84" s="8" t="s">
        <v>73</v>
      </c>
      <c r="G84" s="21">
        <v>19</v>
      </c>
      <c r="H84" s="19">
        <v>149</v>
      </c>
      <c r="I84" s="19">
        <f t="shared" si="2"/>
        <v>2831</v>
      </c>
      <c r="J84" s="8" t="s">
        <v>43</v>
      </c>
      <c r="K84" s="8"/>
    </row>
    <row r="85" spans="1:11" ht="15" hidden="1" customHeight="1" x14ac:dyDescent="0.3">
      <c r="A85" s="8" t="s">
        <v>147</v>
      </c>
      <c r="B85" s="18">
        <v>45596</v>
      </c>
      <c r="C85" s="8" t="s">
        <v>66</v>
      </c>
      <c r="D85" s="8" t="s">
        <v>40</v>
      </c>
      <c r="E85" s="8" t="s">
        <v>53</v>
      </c>
      <c r="F85" s="8" t="s">
        <v>57</v>
      </c>
      <c r="G85" s="21">
        <v>3</v>
      </c>
      <c r="H85" s="19">
        <v>371</v>
      </c>
      <c r="I85" s="19">
        <f t="shared" si="2"/>
        <v>1113</v>
      </c>
      <c r="J85" s="8" t="s">
        <v>43</v>
      </c>
      <c r="K85" s="8"/>
    </row>
    <row r="86" spans="1:11" ht="15" customHeight="1" x14ac:dyDescent="0.3">
      <c r="A86" s="8" t="s">
        <v>148</v>
      </c>
      <c r="B86" s="18">
        <v>45509</v>
      </c>
      <c r="C86" s="8" t="s">
        <v>56</v>
      </c>
      <c r="D86" s="8" t="s">
        <v>40</v>
      </c>
      <c r="E86" s="8" t="s">
        <v>53</v>
      </c>
      <c r="F86" s="8" t="s">
        <v>42</v>
      </c>
      <c r="G86" s="21">
        <v>5</v>
      </c>
      <c r="H86" s="19">
        <v>327</v>
      </c>
      <c r="I86" s="19">
        <f t="shared" si="2"/>
        <v>1635</v>
      </c>
      <c r="J86" s="8" t="s">
        <v>47</v>
      </c>
      <c r="K86" s="8"/>
    </row>
    <row r="87" spans="1:11" ht="15" hidden="1" customHeight="1" x14ac:dyDescent="0.3">
      <c r="A87" s="8" t="s">
        <v>149</v>
      </c>
      <c r="B87" s="18">
        <v>45362</v>
      </c>
      <c r="C87" s="8" t="s">
        <v>45</v>
      </c>
      <c r="D87" s="8" t="s">
        <v>40</v>
      </c>
      <c r="E87" s="8" t="s">
        <v>53</v>
      </c>
      <c r="F87" s="8" t="s">
        <v>73</v>
      </c>
      <c r="G87" s="21">
        <v>13</v>
      </c>
      <c r="H87" s="19">
        <v>116</v>
      </c>
      <c r="I87" s="19">
        <f t="shared" si="2"/>
        <v>1508</v>
      </c>
      <c r="J87" s="8" t="s">
        <v>47</v>
      </c>
      <c r="K87" s="8"/>
    </row>
    <row r="88" spans="1:11" ht="15" hidden="1" customHeight="1" x14ac:dyDescent="0.3">
      <c r="A88" s="8" t="s">
        <v>150</v>
      </c>
      <c r="B88" s="18">
        <v>45529</v>
      </c>
      <c r="C88" s="8" t="s">
        <v>63</v>
      </c>
      <c r="D88" s="8" t="s">
        <v>40</v>
      </c>
      <c r="E88" s="8" t="s">
        <v>76</v>
      </c>
      <c r="F88" s="8" t="s">
        <v>61</v>
      </c>
      <c r="G88" s="21">
        <v>2</v>
      </c>
      <c r="H88" s="19">
        <v>74</v>
      </c>
      <c r="I88" s="19">
        <f t="shared" si="2"/>
        <v>148</v>
      </c>
      <c r="J88" s="8" t="s">
        <v>64</v>
      </c>
      <c r="K88" s="8"/>
    </row>
    <row r="89" spans="1:11" ht="15" hidden="1" customHeight="1" x14ac:dyDescent="0.3">
      <c r="A89" s="8" t="s">
        <v>151</v>
      </c>
      <c r="B89" s="18">
        <v>45385</v>
      </c>
      <c r="C89" s="8" t="s">
        <v>66</v>
      </c>
      <c r="D89" s="8" t="s">
        <v>40</v>
      </c>
      <c r="E89" s="8" t="s">
        <v>50</v>
      </c>
      <c r="F89" s="8" t="s">
        <v>67</v>
      </c>
      <c r="G89" s="21">
        <v>4</v>
      </c>
      <c r="H89" s="19">
        <v>493</v>
      </c>
      <c r="I89" s="19">
        <f t="shared" si="2"/>
        <v>1972</v>
      </c>
      <c r="J89" s="8" t="s">
        <v>64</v>
      </c>
      <c r="K89" s="8"/>
    </row>
    <row r="90" spans="1:11" ht="15" hidden="1" customHeight="1" x14ac:dyDescent="0.3">
      <c r="A90" s="8" t="s">
        <v>152</v>
      </c>
      <c r="B90" s="18">
        <v>45567</v>
      </c>
      <c r="C90" s="8" t="s">
        <v>39</v>
      </c>
      <c r="D90" s="8" t="s">
        <v>40</v>
      </c>
      <c r="E90" s="8" t="s">
        <v>53</v>
      </c>
      <c r="F90" s="8" t="s">
        <v>42</v>
      </c>
      <c r="G90" s="21">
        <v>11</v>
      </c>
      <c r="H90" s="19">
        <v>294</v>
      </c>
      <c r="I90" s="19">
        <f t="shared" si="2"/>
        <v>3234</v>
      </c>
      <c r="J90" s="8" t="s">
        <v>43</v>
      </c>
      <c r="K90" s="8"/>
    </row>
    <row r="91" spans="1:11" ht="15" hidden="1" customHeight="1" x14ac:dyDescent="0.3">
      <c r="A91" s="8" t="s">
        <v>153</v>
      </c>
      <c r="B91" s="18">
        <v>45615</v>
      </c>
      <c r="C91" s="8" t="s">
        <v>63</v>
      </c>
      <c r="D91" s="8" t="s">
        <v>40</v>
      </c>
      <c r="E91" s="8" t="s">
        <v>53</v>
      </c>
      <c r="F91" s="8" t="s">
        <v>54</v>
      </c>
      <c r="G91" s="21">
        <v>7</v>
      </c>
      <c r="H91" s="19">
        <v>269</v>
      </c>
      <c r="I91" s="19">
        <f t="shared" si="2"/>
        <v>1883</v>
      </c>
      <c r="J91" s="8" t="s">
        <v>47</v>
      </c>
      <c r="K91" s="8"/>
    </row>
    <row r="92" spans="1:11" ht="15" hidden="1" customHeight="1" x14ac:dyDescent="0.3">
      <c r="A92" s="8" t="s">
        <v>154</v>
      </c>
      <c r="B92" s="18">
        <v>45642</v>
      </c>
      <c r="C92" s="8" t="s">
        <v>63</v>
      </c>
      <c r="D92" s="8" t="s">
        <v>40</v>
      </c>
      <c r="E92" s="8" t="s">
        <v>46</v>
      </c>
      <c r="F92" s="8" t="s">
        <v>42</v>
      </c>
      <c r="G92" s="21">
        <v>10</v>
      </c>
      <c r="H92" s="19">
        <v>62</v>
      </c>
      <c r="I92" s="19">
        <f t="shared" si="2"/>
        <v>620</v>
      </c>
      <c r="J92" s="8" t="s">
        <v>47</v>
      </c>
      <c r="K92" s="8"/>
    </row>
    <row r="93" spans="1:11" ht="15" hidden="1" customHeight="1" x14ac:dyDescent="0.3">
      <c r="A93" s="8" t="s">
        <v>155</v>
      </c>
      <c r="B93" s="18">
        <v>45632</v>
      </c>
      <c r="C93" s="8" t="s">
        <v>59</v>
      </c>
      <c r="D93" s="8" t="s">
        <v>60</v>
      </c>
      <c r="E93" s="8" t="s">
        <v>76</v>
      </c>
      <c r="F93" s="8" t="s">
        <v>61</v>
      </c>
      <c r="G93" s="21">
        <v>7</v>
      </c>
      <c r="H93" s="19">
        <v>103</v>
      </c>
      <c r="I93" s="19">
        <f t="shared" si="2"/>
        <v>721</v>
      </c>
      <c r="J93" s="8" t="s">
        <v>43</v>
      </c>
      <c r="K93" s="8"/>
    </row>
    <row r="94" spans="1:11" ht="15" hidden="1" customHeight="1" x14ac:dyDescent="0.3">
      <c r="A94" s="8" t="s">
        <v>156</v>
      </c>
      <c r="B94" s="18">
        <v>45477</v>
      </c>
      <c r="C94" s="8" t="s">
        <v>71</v>
      </c>
      <c r="D94" s="8" t="s">
        <v>40</v>
      </c>
      <c r="E94" s="8" t="s">
        <v>50</v>
      </c>
      <c r="F94" s="8" t="s">
        <v>73</v>
      </c>
      <c r="G94" s="21">
        <v>6</v>
      </c>
      <c r="H94" s="19">
        <v>290</v>
      </c>
      <c r="I94" s="19">
        <f t="shared" si="2"/>
        <v>1740</v>
      </c>
      <c r="J94" s="8" t="s">
        <v>47</v>
      </c>
      <c r="K94" s="8"/>
    </row>
    <row r="95" spans="1:11" ht="15" customHeight="1" x14ac:dyDescent="0.3">
      <c r="A95" s="8" t="s">
        <v>157</v>
      </c>
      <c r="B95" s="18">
        <v>45336</v>
      </c>
      <c r="C95" s="8" t="s">
        <v>56</v>
      </c>
      <c r="D95" s="8" t="s">
        <v>40</v>
      </c>
      <c r="E95" s="8" t="s">
        <v>41</v>
      </c>
      <c r="F95" s="8" t="s">
        <v>73</v>
      </c>
      <c r="G95" s="21">
        <v>10</v>
      </c>
      <c r="H95" s="19">
        <v>454</v>
      </c>
      <c r="I95" s="19">
        <f t="shared" si="2"/>
        <v>4540</v>
      </c>
      <c r="J95" s="8" t="s">
        <v>64</v>
      </c>
      <c r="K95" s="8"/>
    </row>
    <row r="96" spans="1:11" ht="15" hidden="1" customHeight="1" x14ac:dyDescent="0.3">
      <c r="A96" s="8" t="s">
        <v>158</v>
      </c>
      <c r="B96" s="18">
        <v>45613</v>
      </c>
      <c r="C96" s="8" t="s">
        <v>79</v>
      </c>
      <c r="D96" s="8" t="s">
        <v>40</v>
      </c>
      <c r="E96" s="8" t="s">
        <v>41</v>
      </c>
      <c r="F96" s="8" t="s">
        <v>67</v>
      </c>
      <c r="G96" s="21">
        <v>1</v>
      </c>
      <c r="H96" s="19">
        <v>81</v>
      </c>
      <c r="I96" s="19">
        <f t="shared" si="2"/>
        <v>81</v>
      </c>
      <c r="J96" s="8" t="s">
        <v>64</v>
      </c>
      <c r="K96" s="8"/>
    </row>
    <row r="97" spans="1:11" ht="15" hidden="1" customHeight="1" x14ac:dyDescent="0.3">
      <c r="A97" s="8" t="s">
        <v>159</v>
      </c>
      <c r="B97" s="18">
        <v>45615</v>
      </c>
      <c r="C97" s="8" t="s">
        <v>39</v>
      </c>
      <c r="D97" s="8" t="s">
        <v>40</v>
      </c>
      <c r="E97" s="8" t="s">
        <v>41</v>
      </c>
      <c r="F97" s="8" t="s">
        <v>42</v>
      </c>
      <c r="G97" s="21">
        <v>3</v>
      </c>
      <c r="H97" s="19">
        <v>83</v>
      </c>
      <c r="I97" s="19">
        <f t="shared" si="2"/>
        <v>249</v>
      </c>
      <c r="J97" s="8" t="s">
        <v>47</v>
      </c>
      <c r="K97" s="8"/>
    </row>
    <row r="98" spans="1:11" ht="15" hidden="1" customHeight="1" x14ac:dyDescent="0.3">
      <c r="A98" s="8" t="s">
        <v>160</v>
      </c>
      <c r="B98" s="18">
        <v>45600</v>
      </c>
      <c r="C98" s="8" t="s">
        <v>59</v>
      </c>
      <c r="D98" s="8" t="s">
        <v>60</v>
      </c>
      <c r="E98" s="8" t="s">
        <v>41</v>
      </c>
      <c r="F98" s="8" t="s">
        <v>67</v>
      </c>
      <c r="G98" s="21">
        <v>16</v>
      </c>
      <c r="H98" s="19">
        <v>65</v>
      </c>
      <c r="I98" s="19">
        <f t="shared" ref="I98:I101" si="3">G98*H98</f>
        <v>1040</v>
      </c>
      <c r="J98" s="8" t="s">
        <v>43</v>
      </c>
      <c r="K98" s="8"/>
    </row>
    <row r="99" spans="1:11" ht="15" hidden="1" customHeight="1" x14ac:dyDescent="0.3">
      <c r="A99" s="8" t="s">
        <v>161</v>
      </c>
      <c r="B99" s="18">
        <v>45516</v>
      </c>
      <c r="C99" s="8" t="s">
        <v>59</v>
      </c>
      <c r="D99" s="8" t="s">
        <v>60</v>
      </c>
      <c r="E99" s="8" t="s">
        <v>46</v>
      </c>
      <c r="F99" s="8" t="s">
        <v>61</v>
      </c>
      <c r="G99" s="21">
        <v>11</v>
      </c>
      <c r="H99" s="19">
        <v>363</v>
      </c>
      <c r="I99" s="19">
        <f t="shared" si="3"/>
        <v>3993</v>
      </c>
      <c r="J99" s="8" t="s">
        <v>64</v>
      </c>
      <c r="K99" s="8"/>
    </row>
    <row r="100" spans="1:11" ht="15" hidden="1" customHeight="1" x14ac:dyDescent="0.3">
      <c r="A100" s="8" t="s">
        <v>162</v>
      </c>
      <c r="B100" s="18">
        <v>45436</v>
      </c>
      <c r="C100" s="8" t="s">
        <v>66</v>
      </c>
      <c r="D100" s="8" t="s">
        <v>40</v>
      </c>
      <c r="E100" s="8" t="s">
        <v>53</v>
      </c>
      <c r="F100" s="8" t="s">
        <v>73</v>
      </c>
      <c r="G100" s="21">
        <v>13</v>
      </c>
      <c r="H100" s="19">
        <v>240</v>
      </c>
      <c r="I100" s="19">
        <f t="shared" si="3"/>
        <v>3120</v>
      </c>
      <c r="J100" s="8" t="s">
        <v>43</v>
      </c>
      <c r="K100" s="8"/>
    </row>
    <row r="101" spans="1:11" ht="15" hidden="1" customHeight="1" x14ac:dyDescent="0.3">
      <c r="A101" s="8" t="s">
        <v>163</v>
      </c>
      <c r="B101" s="18">
        <v>45597</v>
      </c>
      <c r="C101" s="8" t="s">
        <v>45</v>
      </c>
      <c r="D101" s="8" t="s">
        <v>40</v>
      </c>
      <c r="E101" s="8" t="s">
        <v>41</v>
      </c>
      <c r="F101" s="8" t="s">
        <v>73</v>
      </c>
      <c r="G101" s="21">
        <v>12</v>
      </c>
      <c r="H101" s="19">
        <v>416</v>
      </c>
      <c r="I101" s="19">
        <f t="shared" si="3"/>
        <v>4992</v>
      </c>
      <c r="J101" s="8" t="s">
        <v>43</v>
      </c>
      <c r="K101" s="8"/>
    </row>
  </sheetData>
  <autoFilter ref="A1:J101" xr:uid="{00000000-0001-0000-0100-000000000000}">
    <filterColumn colId="2">
      <filters>
        <filter val="Laptop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tabSelected="1" zoomScale="110" zoomScaleNormal="110" workbookViewId="0">
      <selection sqref="A1:A1048576"/>
    </sheetView>
  </sheetViews>
  <sheetFormatPr defaultColWidth="8.6640625" defaultRowHeight="19.8" x14ac:dyDescent="0.3"/>
  <cols>
    <col min="1" max="1" width="41.6640625" style="6" bestFit="1" customWidth="1"/>
    <col min="2" max="3" width="16.5546875" style="6" customWidth="1"/>
    <col min="4" max="4" width="87.109375" style="6" bestFit="1" customWidth="1"/>
    <col min="5" max="5" width="24.5546875" style="16" hidden="1" customWidth="1"/>
  </cols>
  <sheetData>
    <row r="1" spans="1:5" ht="15" customHeight="1" x14ac:dyDescent="0.3">
      <c r="A1" s="7" t="s">
        <v>164</v>
      </c>
      <c r="B1" s="7" t="s">
        <v>194</v>
      </c>
      <c r="C1" s="7" t="s">
        <v>195</v>
      </c>
      <c r="D1" s="8"/>
      <c r="E1" s="12"/>
    </row>
    <row r="2" spans="1:5" ht="15" customHeight="1" x14ac:dyDescent="0.3">
      <c r="A2" s="9" t="s">
        <v>165</v>
      </c>
      <c r="B2" s="9"/>
      <c r="C2" s="9"/>
      <c r="D2" s="9" t="s">
        <v>166</v>
      </c>
      <c r="E2" s="13"/>
    </row>
    <row r="3" spans="1:5" ht="15" customHeight="1" x14ac:dyDescent="0.3">
      <c r="A3" s="10" t="s">
        <v>167</v>
      </c>
      <c r="B3" s="10" t="s">
        <v>56</v>
      </c>
      <c r="C3" s="10"/>
      <c r="D3" s="10"/>
      <c r="E3" s="14">
        <f>VLOOKUP("Laptop",'Sales Data'!C:H,6,FALSE())</f>
        <v>482</v>
      </c>
    </row>
    <row r="4" spans="1:5" x14ac:dyDescent="0.3">
      <c r="A4" s="8"/>
      <c r="B4" s="8"/>
      <c r="C4" s="8"/>
      <c r="D4" s="8"/>
      <c r="E4" s="12"/>
    </row>
    <row r="5" spans="1:5" ht="15" customHeight="1" x14ac:dyDescent="0.3">
      <c r="A5" s="9" t="s">
        <v>168</v>
      </c>
      <c r="B5" s="9"/>
      <c r="C5" s="9"/>
      <c r="D5" s="9" t="s">
        <v>169</v>
      </c>
      <c r="E5" s="13"/>
    </row>
    <row r="6" spans="1:5" ht="15" customHeight="1" x14ac:dyDescent="0.3">
      <c r="A6" s="10" t="s">
        <v>167</v>
      </c>
      <c r="B6" s="10" t="s">
        <v>112</v>
      </c>
      <c r="C6" s="10"/>
      <c r="D6" s="10"/>
      <c r="E6" s="15">
        <f>INDEX('Sales Data'!I:I,MATCH("ORD-1050",'Sales Data'!A:A,0))</f>
        <v>6784</v>
      </c>
    </row>
    <row r="7" spans="1:5" x14ac:dyDescent="0.3">
      <c r="A7" s="8"/>
      <c r="B7" s="8"/>
      <c r="C7" s="8"/>
      <c r="D7" s="8"/>
      <c r="E7" s="12"/>
    </row>
    <row r="8" spans="1:5" ht="15" customHeight="1" x14ac:dyDescent="0.3">
      <c r="A8" s="7" t="s">
        <v>170</v>
      </c>
      <c r="B8" s="7"/>
      <c r="C8" s="7"/>
      <c r="D8" s="8"/>
      <c r="E8" s="12"/>
    </row>
    <row r="9" spans="1:5" ht="15" customHeight="1" x14ac:dyDescent="0.3">
      <c r="A9" s="9" t="s">
        <v>171</v>
      </c>
      <c r="B9" s="9"/>
      <c r="C9" s="9"/>
      <c r="D9" s="9" t="s">
        <v>172</v>
      </c>
      <c r="E9" s="13"/>
    </row>
    <row r="10" spans="1:5" ht="15" customHeight="1" x14ac:dyDescent="0.3">
      <c r="A10" s="10" t="s">
        <v>167</v>
      </c>
      <c r="B10" s="10" t="s">
        <v>76</v>
      </c>
      <c r="C10" s="10"/>
      <c r="D10" s="10"/>
      <c r="E10" s="14">
        <f>SUMIF('Sales Data'!E:E,"North",'Sales Data'!I:I)</f>
        <v>47353</v>
      </c>
    </row>
    <row r="11" spans="1:5" x14ac:dyDescent="0.3">
      <c r="A11" s="8"/>
      <c r="B11" s="8"/>
      <c r="C11" s="8"/>
      <c r="D11" s="8"/>
      <c r="E11" s="12"/>
    </row>
    <row r="12" spans="1:5" ht="15" customHeight="1" x14ac:dyDescent="0.3">
      <c r="A12" s="9" t="s">
        <v>173</v>
      </c>
      <c r="B12" s="9"/>
      <c r="C12" s="9"/>
      <c r="D12" s="9" t="s">
        <v>174</v>
      </c>
      <c r="E12" s="13"/>
    </row>
    <row r="13" spans="1:5" ht="15" customHeight="1" x14ac:dyDescent="0.3">
      <c r="A13" s="10" t="s">
        <v>167</v>
      </c>
      <c r="B13" s="10" t="s">
        <v>40</v>
      </c>
      <c r="C13" s="10" t="s">
        <v>50</v>
      </c>
      <c r="D13" s="10"/>
      <c r="E13" s="14">
        <f>SUMIFS('Sales Data'!I:I,'Sales Data'!D:D,"Electronics",'Sales Data'!E:E,"East")</f>
        <v>40895</v>
      </c>
    </row>
    <row r="14" spans="1:5" x14ac:dyDescent="0.3">
      <c r="A14" s="8"/>
      <c r="B14" s="8"/>
      <c r="C14" s="8"/>
      <c r="D14" s="8"/>
      <c r="E14" s="12"/>
    </row>
    <row r="15" spans="1:5" ht="15" customHeight="1" x14ac:dyDescent="0.3">
      <c r="A15" s="7" t="s">
        <v>175</v>
      </c>
      <c r="B15" s="7"/>
      <c r="C15" s="7"/>
      <c r="D15" s="8"/>
      <c r="E15" s="12"/>
    </row>
    <row r="16" spans="1:5" ht="15" customHeight="1" x14ac:dyDescent="0.3">
      <c r="A16" s="9" t="s">
        <v>176</v>
      </c>
      <c r="B16" s="9"/>
      <c r="C16" s="9"/>
      <c r="D16" s="9" t="s">
        <v>177</v>
      </c>
      <c r="E16" s="13"/>
    </row>
    <row r="17" spans="1:5" ht="15" customHeight="1" x14ac:dyDescent="0.3">
      <c r="A17" s="10" t="s">
        <v>167</v>
      </c>
      <c r="B17" s="10" t="s">
        <v>47</v>
      </c>
      <c r="C17" s="10"/>
      <c r="D17" s="10"/>
      <c r="E17" s="14">
        <f>COUNTIF('Sales Data'!J:J,"Completed")</f>
        <v>53</v>
      </c>
    </row>
    <row r="18" spans="1:5" x14ac:dyDescent="0.3">
      <c r="A18" s="8"/>
      <c r="B18" s="8"/>
      <c r="C18" s="8"/>
      <c r="D18" s="8"/>
      <c r="E18" s="12"/>
    </row>
    <row r="19" spans="1:5" ht="15" customHeight="1" x14ac:dyDescent="0.3">
      <c r="A19" s="9" t="s">
        <v>178</v>
      </c>
      <c r="B19" s="9"/>
      <c r="C19" s="9"/>
      <c r="D19" s="9" t="s">
        <v>179</v>
      </c>
      <c r="E19" s="13"/>
    </row>
    <row r="20" spans="1:5" ht="15" customHeight="1" x14ac:dyDescent="0.3">
      <c r="A20" s="10" t="s">
        <v>167</v>
      </c>
      <c r="B20" s="10" t="s">
        <v>61</v>
      </c>
      <c r="C20" s="10" t="s">
        <v>47</v>
      </c>
      <c r="D20" s="10"/>
      <c r="E20" s="14">
        <f>COUNTIFS('Sales Data'!F:F,"John Smith",'Sales Data'!J:J,"Completed")</f>
        <v>6</v>
      </c>
    </row>
    <row r="21" spans="1:5" x14ac:dyDescent="0.3">
      <c r="A21" s="8"/>
      <c r="B21" s="8"/>
      <c r="C21" s="8"/>
      <c r="D21" s="8"/>
      <c r="E21" s="12"/>
    </row>
    <row r="22" spans="1:5" ht="15" customHeight="1" x14ac:dyDescent="0.3">
      <c r="A22" s="7" t="s">
        <v>180</v>
      </c>
      <c r="B22" s="7"/>
      <c r="C22" s="7"/>
      <c r="D22" s="8"/>
      <c r="E22" s="12"/>
    </row>
    <row r="23" spans="1:5" ht="15" customHeight="1" x14ac:dyDescent="0.3">
      <c r="A23" s="9" t="s">
        <v>181</v>
      </c>
      <c r="B23" s="9"/>
      <c r="C23" s="9"/>
      <c r="D23" s="9" t="s">
        <v>182</v>
      </c>
      <c r="E23" s="13"/>
    </row>
    <row r="24" spans="1:5" ht="15" customHeight="1" x14ac:dyDescent="0.3">
      <c r="A24" s="8" t="s">
        <v>183</v>
      </c>
      <c r="B24" s="8"/>
      <c r="C24" s="8"/>
      <c r="D24" s="8"/>
      <c r="E24" s="14" t="str">
        <f>IF('Sales Data'!I2&gt;1000,"High",IF('Sales Data'!I2&gt;500,"Medium","Low"))</f>
        <v>High</v>
      </c>
    </row>
    <row r="25" spans="1:5" x14ac:dyDescent="0.3">
      <c r="A25" s="8"/>
      <c r="B25" s="8"/>
      <c r="C25" s="8"/>
      <c r="D25" s="8"/>
      <c r="E25" s="12"/>
    </row>
    <row r="26" spans="1:5" ht="15" customHeight="1" x14ac:dyDescent="0.3">
      <c r="A26" s="7" t="s">
        <v>184</v>
      </c>
      <c r="B26" s="7"/>
      <c r="C26" s="7"/>
      <c r="D26" s="8"/>
      <c r="E26" s="12"/>
    </row>
    <row r="27" spans="1:5" ht="15" customHeight="1" x14ac:dyDescent="0.3">
      <c r="A27" s="9" t="s">
        <v>185</v>
      </c>
      <c r="B27" s="24" t="s">
        <v>197</v>
      </c>
      <c r="C27" s="25"/>
      <c r="D27" s="9" t="s">
        <v>186</v>
      </c>
      <c r="E27" s="13"/>
    </row>
    <row r="28" spans="1:5" ht="15" customHeight="1" x14ac:dyDescent="0.3">
      <c r="A28" s="10" t="s">
        <v>167</v>
      </c>
      <c r="B28" s="20" t="s">
        <v>38</v>
      </c>
      <c r="C28" s="11"/>
      <c r="D28" s="10"/>
      <c r="E28" s="14" t="str">
        <f>INDEX('Sales Data'!F:F,MATCH("ORD-1075",'Sales Data'!A:A,0))</f>
        <v>Sarah Johnson</v>
      </c>
    </row>
    <row r="29" spans="1:5" x14ac:dyDescent="0.3">
      <c r="A29" s="8"/>
      <c r="B29" s="8"/>
      <c r="C29" s="8"/>
      <c r="D29" s="8"/>
      <c r="E29" s="12"/>
    </row>
    <row r="30" spans="1:5" ht="15" customHeight="1" x14ac:dyDescent="0.3">
      <c r="A30" s="9" t="s">
        <v>187</v>
      </c>
      <c r="B30" s="24" t="s">
        <v>198</v>
      </c>
      <c r="C30" s="25"/>
      <c r="D30" s="9" t="s">
        <v>188</v>
      </c>
      <c r="E30" s="13"/>
    </row>
    <row r="31" spans="1:5" ht="15" customHeight="1" x14ac:dyDescent="0.3">
      <c r="A31" s="10" t="s">
        <v>167</v>
      </c>
      <c r="B31" s="20" t="s">
        <v>40</v>
      </c>
      <c r="C31" s="11"/>
      <c r="D31" s="10"/>
      <c r="E31" s="14" t="str">
        <f>INDEX('Sales Data'!D:D,MATCH("Monitor",'Sales Data'!C:C,0))</f>
        <v>Electronics</v>
      </c>
    </row>
    <row r="32" spans="1:5" x14ac:dyDescent="0.3">
      <c r="A32" s="8"/>
      <c r="B32" s="8"/>
      <c r="C32" s="8"/>
      <c r="D32" s="8"/>
      <c r="E32" s="12"/>
    </row>
    <row r="33" spans="1:5" ht="15" customHeight="1" x14ac:dyDescent="0.3">
      <c r="A33" s="7" t="s">
        <v>189</v>
      </c>
      <c r="B33" s="7"/>
      <c r="C33" s="7"/>
      <c r="D33" s="8"/>
      <c r="E33" s="12"/>
    </row>
    <row r="34" spans="1:5" ht="15" customHeight="1" x14ac:dyDescent="0.3">
      <c r="A34" s="9" t="s">
        <v>190</v>
      </c>
      <c r="B34" s="9"/>
      <c r="C34" s="9"/>
      <c r="D34" s="9" t="s">
        <v>191</v>
      </c>
      <c r="E34" s="13"/>
    </row>
    <row r="35" spans="1:5" ht="15" customHeight="1" x14ac:dyDescent="0.3">
      <c r="A35" s="10" t="s">
        <v>167</v>
      </c>
      <c r="B35" s="10" t="s">
        <v>40</v>
      </c>
      <c r="C35" s="10"/>
      <c r="D35" s="10"/>
      <c r="E35" s="14">
        <f>AVERAGEIF('Sales Data'!D:D,"Electronics",'Sales Data'!H:H)</f>
        <v>275.66292134831463</v>
      </c>
    </row>
    <row r="36" spans="1:5" x14ac:dyDescent="0.3">
      <c r="A36" s="8"/>
      <c r="B36" s="8"/>
      <c r="C36" s="8"/>
      <c r="D36" s="8"/>
      <c r="E36" s="12"/>
    </row>
    <row r="37" spans="1:5" ht="15" customHeight="1" x14ac:dyDescent="0.3">
      <c r="A37" s="9" t="s">
        <v>192</v>
      </c>
      <c r="B37" s="9"/>
      <c r="C37" s="9"/>
      <c r="D37" s="9" t="s">
        <v>193</v>
      </c>
      <c r="E37" s="13"/>
    </row>
    <row r="38" spans="1:5" ht="15" customHeight="1" x14ac:dyDescent="0.3">
      <c r="A38" s="10" t="s">
        <v>167</v>
      </c>
      <c r="B38" s="10" t="s">
        <v>199</v>
      </c>
      <c r="C38" s="10" t="s">
        <v>53</v>
      </c>
      <c r="D38" s="10"/>
      <c r="E38" s="14">
        <f>AVERAGEIFS('Sales Data'!G:G,'Sales Data'!J:J,"Completed",'Sales Data'!E:E,"South")</f>
        <v>11.6875</v>
      </c>
    </row>
  </sheetData>
  <mergeCells count="2">
    <mergeCell ref="B27:C27"/>
    <mergeCell ref="B30:C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06DC45-BB82-424E-9525-4E93CDBE79A0}">
          <x14:formula1>
            <xm:f>'Sales Data'!$A$2:$A$101</xm:f>
          </x14:formula1>
          <xm:sqref>B28</xm:sqref>
        </x14:dataValidation>
        <x14:dataValidation type="list" allowBlank="1" showInputMessage="1" showErrorMessage="1" xr:uid="{8420671A-C117-42FD-AA43-645804E4E0E1}">
          <x14:formula1>
            <xm:f>'Sales Data'!$D$2:$D$101</xm:f>
          </x14:formula1>
          <xm:sqref>B31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 Data</vt:lpstr>
      <vt:lpstr>Questions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cp:revision>0</cp:revision>
  <dcterms:created xsi:type="dcterms:W3CDTF">2026-02-16T08:04:42Z</dcterms:created>
  <dcterms:modified xsi:type="dcterms:W3CDTF">2026-03-03T07:08:31Z</dcterms:modified>
  <dc:language>en-US</dc:language>
</cp:coreProperties>
</file>